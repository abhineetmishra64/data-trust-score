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DE coverage" sheetId="2" state="visible" r:id="rId2"/>
    <sheet xmlns:r="http://schemas.openxmlformats.org/officeDocument/2006/relationships" name="DQ Rules" sheetId="3" state="visible" r:id="rId3"/>
  </sheets>
  <definedNames>
    <definedName name="_xlnm._FilterDatabase" localSheetId="1" hidden="1">'CDE coverage'!$A$1:$X$36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"/>
  </numFmts>
  <fonts count="23">
    <font>
      <name val="Calibri"/>
      <family val="2"/>
      <color theme="1"/>
      <sz val="11"/>
      <scheme val="minor"/>
    </font>
    <font>
      <b val="1"/>
    </font>
    <font>
      <b val="1"/>
      <color rgb="00FFFFFF"/>
      <sz val="22"/>
    </font>
    <font>
      <i val="1"/>
      <color rgb="00FFFFFF"/>
      <sz val="9"/>
    </font>
    <font>
      <b val="1"/>
      <color rgb="001F3864"/>
      <sz val="12"/>
    </font>
    <font>
      <b val="1"/>
      <color rgb="00FFFFFF"/>
      <sz val="10"/>
    </font>
    <font>
      <color rgb="00404040"/>
      <sz val="10"/>
    </font>
    <font>
      <b val="1"/>
      <color rgb="00FFFFFF"/>
      <sz val="13"/>
    </font>
    <font>
      <b val="1"/>
      <color rgb="001F3864"/>
      <sz val="16"/>
    </font>
    <font>
      <i val="1"/>
      <color rgb="007F6000"/>
      <sz val="10"/>
    </font>
    <font>
      <i val="1"/>
      <color rgb="00808080"/>
      <sz val="9"/>
    </font>
    <font>
      <color rgb="00808080"/>
      <sz val="9"/>
    </font>
    <font>
      <b val="1"/>
      <color rgb="00FFFFFF"/>
      <sz val="12"/>
    </font>
    <font>
      <b val="1"/>
      <color rgb="001F3864"/>
      <sz val="44"/>
    </font>
    <font>
      <b val="1"/>
      <color rgb="001F3864"/>
      <sz val="13"/>
    </font>
    <font>
      <b val="1"/>
      <color rgb="00FFFFFF"/>
      <sz val="11"/>
    </font>
    <font>
      <b val="1"/>
      <color rgb="00404040"/>
      <sz val="26"/>
    </font>
    <font>
      <color rgb="00595959"/>
      <sz val="9"/>
    </font>
    <font>
      <b val="1"/>
      <color rgb="00595959"/>
      <sz val="9"/>
    </font>
    <font>
      <b val="1"/>
      <color rgb="00404040"/>
      <sz val="10"/>
    </font>
    <font>
      <b val="1"/>
      <color rgb="00FFFFFF"/>
      <sz val="9"/>
    </font>
    <font>
      <b val="1"/>
      <color rgb="001F3864"/>
      <sz val="10"/>
    </font>
    <font>
      <i val="1"/>
      <color rgb="00595959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00A3A1"/>
      </patternFill>
    </fill>
    <fill>
      <patternFill patternType="solid">
        <fgColor rgb="00ED7D31"/>
      </patternFill>
    </fill>
    <fill>
      <patternFill patternType="solid">
        <fgColor rgb="008E7CC3"/>
      </patternFill>
    </fill>
    <fill>
      <patternFill patternType="solid">
        <fgColor rgb="00FFE699"/>
      </patternFill>
    </fill>
    <fill>
      <patternFill patternType="solid">
        <fgColor rgb="0063BE7B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F8696B"/>
      </patternFill>
    </fill>
    <fill>
      <patternFill patternType="solid">
        <fgColor rgb="00C00000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3864"/>
      </left>
      <top style="medium">
        <color rgb="001F3864"/>
      </top>
      <bottom style="medium">
        <color rgb="001F3864"/>
      </bottom>
    </border>
    <border>
      <top style="medium">
        <color rgb="001F3864"/>
      </top>
      <bottom style="medium">
        <color rgb="001F3864"/>
      </bottom>
    </border>
    <border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top style="thin">
        <color rgb="00BFBFBF"/>
      </top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left style="thin">
        <color rgb="00BFBFBF"/>
      </left>
      <bottom style="thin">
        <color rgb="00BFBFBF"/>
      </bottom>
    </border>
    <border>
      <bottom style="thin">
        <color rgb="00BFBFBF"/>
      </bottom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1" fillId="8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0" fillId="12" borderId="3" pivotButton="0" quotePrefix="0" xfId="0"/>
    <xf numFmtId="0" fontId="0" fillId="12" borderId="4" pivotButton="0" quotePrefix="0" xfId="0"/>
    <xf numFmtId="0" fontId="9" fillId="0" borderId="0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5" fillId="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0" fillId="0" borderId="0" pivotButton="0" quotePrefix="0" xfId="0"/>
    <xf numFmtId="165" fontId="13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17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13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4" fillId="0" borderId="0" pivotButton="0" quotePrefix="0" xfId="0"/>
    <xf numFmtId="0" fontId="15" fillId="2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center" vertical="center"/>
    </xf>
    <xf numFmtId="9" fontId="6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64" fontId="19" fillId="8" borderId="1" applyAlignment="1" pivotButton="0" quotePrefix="0" xfId="0">
      <alignment horizontal="center" vertical="center"/>
    </xf>
    <xf numFmtId="0" fontId="2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1F3864"/>
                </a:solidFill>
              </a:defRPr>
            </a:pPr>
            <a:r>
              <a:t>DQ Dimension by CDE ColumnName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'DQ Rules'!B1</f>
            </strRef>
          </tx>
          <spPr>
            <a:solidFill xmlns:a="http://schemas.openxmlformats.org/drawingml/2006/main">
              <a:srgbClr val="63BE7B"/>
            </a:solidFill>
            <a:ln xmlns:a="http://schemas.openxmlformats.org/drawingml/2006/main">
              <a:solidFill>
                <a:srgbClr val="63BE7B"/>
              </a:solidFill>
              <a:prstDash val="solid"/>
            </a:ln>
          </spPr>
          <cat>
            <numRef>
              <f>'DQ Rules'!$A$2:$A$22</f>
            </numRef>
          </cat>
          <val>
            <numRef>
              <f>'DQ Rules'!$B$2:$B$22</f>
            </numRef>
          </val>
        </ser>
        <dLbls>
          <numFmt formatCode="General"/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404040"/>
                </a:solidFill>
              </a:defRPr>
            </a:pPr>
            <a:r>
              <a:t/>
            </a:r>
            <a:endParaRPr sz="1000"/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7E6E6"/>
              </a:solidFill>
              <a:prstDash val="solid"/>
            </a:ln>
          </spPr>
        </majorGridlines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404040"/>
                </a:solidFill>
              </a:defRPr>
            </a:pPr>
            <a:r>
              <a:t/>
            </a:r>
            <a:endParaRPr sz="1000"/>
          </a:p>
        </txPr>
        <crossAx val="10"/>
        <crosses val="max"/>
        <majorUnit val="2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10800000" cy="675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</cols>
  <sheetData>
    <row r="1" ht="42" customHeight="1">
      <c r="A1" s="1" t="inlineStr">
        <is>
          <t>DATA TRUST DASHBOARD</t>
        </is>
      </c>
      <c r="N1" s="2" t="inlineStr">
        <is>
          <t>Timezone (Last Refresh date)</t>
        </is>
      </c>
      <c r="O1" s="3" t="n"/>
      <c r="P1" s="4" t="n"/>
    </row>
    <row r="2">
      <c r="A2" s="5">
        <f>IF($D$3="All Domain",ROWS('CDE coverage'!A2:A36),COUNTIF('CDE coverage'!$B$2:$B$36,$D$3))&amp;" rows checked   |   Trust Score = 40% DQ Score + 20% Glossary + 20% Ownership + 20% Metadata   |   Set DQ Score (Y/N) on the CDE coverage sheet"</f>
        <v/>
      </c>
      <c r="N2" s="6" t="inlineStr">
        <is>
          <t>14 Oct 2026  15:01  (UTC+05:30)</t>
        </is>
      </c>
      <c r="O2" s="7" t="n"/>
      <c r="P2" s="8" t="n"/>
    </row>
    <row r="3" ht="34" customHeight="1">
      <c r="A3" s="9" t="inlineStr">
        <is>
          <t>SELECT DOMAIN  ▶</t>
        </is>
      </c>
      <c r="D3" s="10" t="inlineStr">
        <is>
          <t>All Domain</t>
        </is>
      </c>
      <c r="E3" s="11" t="n"/>
      <c r="F3" s="11" t="n"/>
      <c r="G3" s="12" t="n"/>
      <c r="H3" s="13" t="inlineStr">
        <is>
          <t>▼  click the yellow cell and pick a domain - the whole dashboard updates</t>
        </is>
      </c>
    </row>
    <row r="4">
      <c r="A4" s="14">
        <f>"TRUST SCORE: "&amp;$D$3</f>
        <v/>
      </c>
      <c r="B4" s="15" t="n"/>
      <c r="C4" s="15" t="n"/>
      <c r="D4" s="15" t="n"/>
      <c r="E4" s="16" t="inlineStr">
        <is>
          <t>DQ SCORE</t>
        </is>
      </c>
      <c r="F4" s="15" t="n"/>
      <c r="G4" s="17" t="inlineStr">
        <is>
          <t>GLOSSARY</t>
        </is>
      </c>
      <c r="H4" s="15" t="n"/>
      <c r="I4" s="18" t="inlineStr">
        <is>
          <t>OWNERSHIP</t>
        </is>
      </c>
      <c r="J4" s="15" t="n"/>
      <c r="K4" s="19" t="inlineStr">
        <is>
          <t>METADATA</t>
        </is>
      </c>
      <c r="L4" s="15" t="n"/>
      <c r="V4" s="20" t="inlineStr">
        <is>
          <t>Table list</t>
        </is>
      </c>
    </row>
    <row r="5" ht="24" customHeight="1">
      <c r="A5" s="21">
        <f>SUMPRODUCT(L15:L18,M15:M18)</f>
        <v/>
      </c>
      <c r="B5" s="15" t="n"/>
      <c r="C5" s="15" t="n"/>
      <c r="D5" s="15" t="n"/>
      <c r="E5" s="22">
        <f>L15</f>
        <v/>
      </c>
      <c r="F5" s="15" t="n"/>
      <c r="G5" s="22">
        <f>L16</f>
        <v/>
      </c>
      <c r="H5" s="15" t="n"/>
      <c r="I5" s="22">
        <f>L17</f>
        <v/>
      </c>
      <c r="J5" s="15" t="n"/>
      <c r="K5" s="22">
        <f>L18</f>
        <v/>
      </c>
      <c r="L5" s="15" t="n"/>
      <c r="V5" s="23" t="inlineStr">
        <is>
          <t>All Domain</t>
        </is>
      </c>
    </row>
    <row r="6" ht="24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V6" s="23" t="inlineStr">
        <is>
          <t>CLAIM</t>
        </is>
      </c>
    </row>
    <row r="7" ht="24" customHeight="1">
      <c r="A7" s="15" t="n"/>
      <c r="B7" s="15" t="n"/>
      <c r="C7" s="15" t="n"/>
      <c r="D7" s="15" t="n"/>
      <c r="E7" s="24">
        <f>"weight "&amp;TEXT(M15,"0%")</f>
        <v/>
      </c>
      <c r="F7" s="15" t="n"/>
      <c r="G7" s="24">
        <f>"weight "&amp;TEXT(M16,"0%")</f>
        <v/>
      </c>
      <c r="H7" s="15" t="n"/>
      <c r="I7" s="24">
        <f>"weight "&amp;TEXT(M17,"0%")</f>
        <v/>
      </c>
      <c r="J7" s="15" t="n"/>
      <c r="K7" s="24">
        <f>"weight "&amp;TEXT(M18,"0%")</f>
        <v/>
      </c>
      <c r="L7" s="15" t="n"/>
      <c r="V7" s="23" t="inlineStr">
        <is>
          <t>CLAIM_ASSESSMENT</t>
        </is>
      </c>
    </row>
    <row r="8">
      <c r="A8" s="25">
        <f>IF(A5&gt;=90,"Decision-grade",IF(A5&gt;=75,"Good Trust",IF(A5&gt;=60,"Use with caution","At risk")))</f>
        <v/>
      </c>
      <c r="B8" s="15" t="n"/>
      <c r="C8" s="15" t="n"/>
      <c r="D8" s="15" t="n"/>
      <c r="E8" s="24">
        <f>J15&amp;" of "&amp;(J15+K15)&amp;" CDEs"</f>
        <v/>
      </c>
      <c r="F8" s="15" t="n"/>
      <c r="G8" s="24">
        <f>J16&amp;" of "&amp;(J16+K16)&amp;" CDEs"</f>
        <v/>
      </c>
      <c r="H8" s="15" t="n"/>
      <c r="I8" s="24">
        <f>J17&amp;" of "&amp;(J17+K17)&amp;" CDEs"</f>
        <v/>
      </c>
      <c r="J8" s="15" t="n"/>
      <c r="K8" s="24">
        <f>J18&amp;" of "&amp;(J18+K18)&amp;" CDEs"</f>
        <v/>
      </c>
      <c r="L8" s="15" t="n"/>
      <c r="V8" s="23" t="inlineStr">
        <is>
          <t>CLAIM_RESERVE</t>
        </is>
      </c>
    </row>
    <row r="9">
      <c r="V9" s="23" t="inlineStr">
        <is>
          <t>CLAIM_SETTLEMENT</t>
        </is>
      </c>
    </row>
    <row r="10">
      <c r="A10" s="26" t="inlineStr">
        <is>
          <t>Score bands</t>
        </is>
      </c>
    </row>
    <row r="11" ht="22" customHeight="1">
      <c r="A11" s="27" t="inlineStr">
        <is>
          <t>90-100  Decision-grade</t>
        </is>
      </c>
      <c r="D11" s="28" t="inlineStr">
        <is>
          <t>75-89  Good Trust</t>
        </is>
      </c>
      <c r="G11" s="29" t="inlineStr">
        <is>
          <t>60-74  Use with caution</t>
        </is>
      </c>
      <c r="J11" s="30" t="inlineStr">
        <is>
          <t>below 60  At risk</t>
        </is>
      </c>
    </row>
    <row r="13">
      <c r="A13" s="31" t="inlineStr">
        <is>
          <t>Data quality by dimension - table wise</t>
        </is>
      </c>
      <c r="I13" s="31" t="inlineStr">
        <is>
          <t>Chart data</t>
        </is>
      </c>
    </row>
    <row r="14">
      <c r="A14" s="32" t="inlineStr">
        <is>
          <t>Domain</t>
        </is>
      </c>
      <c r="C14" s="33" t="inlineStr">
        <is>
          <t>Accuracy</t>
        </is>
      </c>
      <c r="D14" s="34" t="inlineStr">
        <is>
          <t>Completeness</t>
        </is>
      </c>
      <c r="E14" s="35" t="inlineStr">
        <is>
          <t>Conformity</t>
        </is>
      </c>
      <c r="F14" s="36" t="inlineStr">
        <is>
          <t>Uniqueness</t>
        </is>
      </c>
      <c r="G14" s="37" t="inlineStr">
        <is>
          <t>Timeliness</t>
        </is>
      </c>
      <c r="I14" s="38" t="inlineStr">
        <is>
          <t>Dimension</t>
        </is>
      </c>
      <c r="J14" s="38" t="inlineStr">
        <is>
          <t>Trusted</t>
        </is>
      </c>
      <c r="K14" s="38" t="inlineStr">
        <is>
          <t>Not Trusted</t>
        </is>
      </c>
      <c r="L14" s="38" t="inlineStr">
        <is>
          <t>Coverage %</t>
        </is>
      </c>
      <c r="M14" s="38" t="inlineStr">
        <is>
          <t>Weight</t>
        </is>
      </c>
    </row>
    <row r="15">
      <c r="A15" s="39" t="inlineStr">
        <is>
          <t>CLAIM</t>
        </is>
      </c>
      <c r="B15" s="40" t="n"/>
      <c r="C15" s="41">
        <f>IFERROR(AVERAGEIFS('CDE coverage'!$T$2:$T$36,'CDE coverage'!$B$2:$B$36,$A15),"-")</f>
        <v/>
      </c>
      <c r="D15" s="41">
        <f>IFERROR(AVERAGEIFS('CDE coverage'!$U$2:$U$36,'CDE coverage'!$B$2:$B$36,$A15),"-")</f>
        <v/>
      </c>
      <c r="E15" s="41">
        <f>IFERROR(AVERAGEIFS('CDE coverage'!$V$2:$V$36,'CDE coverage'!$B$2:$B$36,$A15),"-")</f>
        <v/>
      </c>
      <c r="F15" s="41">
        <f>IFERROR(AVERAGEIFS('CDE coverage'!$X$2:$X$36,'CDE coverage'!$B$2:$B$36,$A15),"-")</f>
        <v/>
      </c>
      <c r="G15" s="41">
        <f>IFERROR(IF(AVERAGEIFS('CDE coverage'!$W$2:$W$36,'CDE coverage'!$B$2:$B$36,$A15)&gt;=100,100,0),"-")</f>
        <v/>
      </c>
      <c r="I15" s="42" t="inlineStr">
        <is>
          <t>DQ Score</t>
        </is>
      </c>
      <c r="J15" s="43">
        <f>IF($D$3="All Domain",COUNTIF('CDE coverage'!E2:E36,"Y"),COUNTIFS('CDE coverage'!$B$2:$B$36,$D$3,'CDE coverage'!E2:E36,"Y"))</f>
        <v/>
      </c>
      <c r="K15" s="44">
        <f>IF($D$3="All Domain",ROWS('CDE coverage'!A2:A36),COUNTIF('CDE coverage'!$B$2:$B$36,$D$3))-J15</f>
        <v/>
      </c>
      <c r="L15" s="41">
        <f>IF(J15+K15=0,0,J15/(J15+K15)*100)</f>
        <v/>
      </c>
      <c r="M15" s="45">
        <f>'CDE coverage'!E39</f>
        <v/>
      </c>
    </row>
    <row r="16">
      <c r="A16" s="39" t="inlineStr">
        <is>
          <t>CLAIM_ASSESSMENT</t>
        </is>
      </c>
      <c r="B16" s="40" t="n"/>
      <c r="C16" s="41">
        <f>IFERROR(AVERAGEIFS('CDE coverage'!$T$2:$T$36,'CDE coverage'!$B$2:$B$36,$A16),"-")</f>
        <v/>
      </c>
      <c r="D16" s="41">
        <f>IFERROR(AVERAGEIFS('CDE coverage'!$U$2:$U$36,'CDE coverage'!$B$2:$B$36,$A16),"-")</f>
        <v/>
      </c>
      <c r="E16" s="41">
        <f>IFERROR(AVERAGEIFS('CDE coverage'!$V$2:$V$36,'CDE coverage'!$B$2:$B$36,$A16),"-")</f>
        <v/>
      </c>
      <c r="F16" s="41">
        <f>IFERROR(AVERAGEIFS('CDE coverage'!$X$2:$X$36,'CDE coverage'!$B$2:$B$36,$A16),"-")</f>
        <v/>
      </c>
      <c r="G16" s="41">
        <f>IFERROR(IF(AVERAGEIFS('CDE coverage'!$W$2:$W$36,'CDE coverage'!$B$2:$B$36,$A16)&gt;=100,100,0),"-")</f>
        <v/>
      </c>
      <c r="I16" s="46" t="inlineStr">
        <is>
          <t>Glossary</t>
        </is>
      </c>
      <c r="J16" s="43">
        <f>IF($D$3="All Domain",COUNTIF('CDE coverage'!F2:F36,"Y"),COUNTIFS('CDE coverage'!$B$2:$B$36,$D$3,'CDE coverage'!F2:F36,"Y"))</f>
        <v/>
      </c>
      <c r="K16" s="44">
        <f>IF($D$3="All Domain",ROWS('CDE coverage'!A2:A36),COUNTIF('CDE coverage'!$B$2:$B$36,$D$3))-J16</f>
        <v/>
      </c>
      <c r="L16" s="47">
        <f>IF(J16+K16=0,0,J16/(J16+K16)*100)</f>
        <v/>
      </c>
      <c r="M16" s="48">
        <f>'CDE coverage'!F39</f>
        <v/>
      </c>
    </row>
    <row r="17">
      <c r="A17" s="39" t="inlineStr">
        <is>
          <t>CLAIM_RESERVE</t>
        </is>
      </c>
      <c r="B17" s="40" t="n"/>
      <c r="C17" s="41">
        <f>IFERROR(AVERAGEIFS('CDE coverage'!$T$2:$T$36,'CDE coverage'!$B$2:$B$36,$A17),"-")</f>
        <v/>
      </c>
      <c r="D17" s="41">
        <f>IFERROR(AVERAGEIFS('CDE coverage'!$U$2:$U$36,'CDE coverage'!$B$2:$B$36,$A17),"-")</f>
        <v/>
      </c>
      <c r="E17" s="41">
        <f>IFERROR(AVERAGEIFS('CDE coverage'!$V$2:$V$36,'CDE coverage'!$B$2:$B$36,$A17),"-")</f>
        <v/>
      </c>
      <c r="F17" s="41">
        <f>IFERROR(AVERAGEIFS('CDE coverage'!$X$2:$X$36,'CDE coverage'!$B$2:$B$36,$A17),"-")</f>
        <v/>
      </c>
      <c r="G17" s="41">
        <f>IFERROR(IF(AVERAGEIFS('CDE coverage'!$W$2:$W$36,'CDE coverage'!$B$2:$B$36,$A17)&gt;=100,100,0),"-")</f>
        <v/>
      </c>
      <c r="I17" s="49" t="inlineStr">
        <is>
          <t>Ownership</t>
        </is>
      </c>
      <c r="J17" s="43">
        <f>IF($D$3="All Domain",COUNTIF('CDE coverage'!G2:G36,"Y"),COUNTIFS('CDE coverage'!$B$2:$B$36,$D$3,'CDE coverage'!G2:G36,"Y"))</f>
        <v/>
      </c>
      <c r="K17" s="44">
        <f>IF($D$3="All Domain",ROWS('CDE coverage'!A2:A36),COUNTIF('CDE coverage'!$B$2:$B$36,$D$3))-J17</f>
        <v/>
      </c>
      <c r="L17" s="41">
        <f>IF(J17+K17=0,0,J17/(J17+K17)*100)</f>
        <v/>
      </c>
      <c r="M17" s="45">
        <f>'CDE coverage'!G39</f>
        <v/>
      </c>
    </row>
    <row r="18">
      <c r="A18" s="39" t="inlineStr">
        <is>
          <t>CLAIM_SETTLEMENT</t>
        </is>
      </c>
      <c r="B18" s="40" t="n"/>
      <c r="C18" s="41">
        <f>IFERROR(AVERAGEIFS('CDE coverage'!$T$2:$T$36,'CDE coverage'!$B$2:$B$36,$A18),"-")</f>
        <v/>
      </c>
      <c r="D18" s="41">
        <f>IFERROR(AVERAGEIFS('CDE coverage'!$U$2:$U$36,'CDE coverage'!$B$2:$B$36,$A18),"-")</f>
        <v/>
      </c>
      <c r="E18" s="41">
        <f>IFERROR(AVERAGEIFS('CDE coverage'!$V$2:$V$36,'CDE coverage'!$B$2:$B$36,$A18),"-")</f>
        <v/>
      </c>
      <c r="F18" s="41">
        <f>IFERROR(AVERAGEIFS('CDE coverage'!$X$2:$X$36,'CDE coverage'!$B$2:$B$36,$A18),"-")</f>
        <v/>
      </c>
      <c r="G18" s="41">
        <f>IFERROR(IF(AVERAGEIFS('CDE coverage'!$W$2:$W$36,'CDE coverage'!$B$2:$B$36,$A18)&gt;=100,100,0),"-")</f>
        <v/>
      </c>
      <c r="I18" s="50" t="inlineStr">
        <is>
          <t>Metadata</t>
        </is>
      </c>
      <c r="J18" s="43">
        <f>IF($D$3="All Domain",COUNTIF('CDE coverage'!H2:H36,"Y"),COUNTIFS('CDE coverage'!$B$2:$B$36,$D$3,'CDE coverage'!H2:H36,"Y"))</f>
        <v/>
      </c>
      <c r="K18" s="44">
        <f>IF($D$3="All Domain",ROWS('CDE coverage'!A2:A36),COUNTIF('CDE coverage'!$B$2:$B$36,$D$3))-J18</f>
        <v/>
      </c>
      <c r="L18" s="47">
        <f>IF(J18+K18=0,0,J18/(J18+K18)*100)</f>
        <v/>
      </c>
      <c r="M18" s="48">
        <f>'CDE coverage'!H39</f>
        <v/>
      </c>
    </row>
    <row r="19">
      <c r="A19" s="51" t="inlineStr">
        <is>
          <t>All Domain</t>
        </is>
      </c>
      <c r="B19" s="52" t="n"/>
      <c r="C19" s="53">
        <f>IFERROR(AVERAGE('CDE coverage'!$T$2:$T$36),"-")</f>
        <v/>
      </c>
      <c r="D19" s="53">
        <f>IFERROR(AVERAGE('CDE coverage'!$U$2:$U$36),"-")</f>
        <v/>
      </c>
      <c r="E19" s="53">
        <f>IFERROR(AVERAGE('CDE coverage'!$V$2:$V$36),"-")</f>
        <v/>
      </c>
      <c r="F19" s="53">
        <f>IFERROR(AVERAGE('CDE coverage'!$X$2:$X$36),"-")</f>
        <v/>
      </c>
      <c r="G19" s="53">
        <f>IFERROR(IF(AVERAGE('CDE coverage'!$W$2:$W$36)&gt;=100,100,0),"-")</f>
        <v/>
      </c>
    </row>
    <row r="21">
      <c r="A21" s="54" t="inlineStr">
        <is>
          <t>Timeliness is 100% when the freshness check passes (IS_FRESH = true), 0% when it fails, - when the table has no check.</t>
        </is>
      </c>
    </row>
  </sheetData>
  <mergeCells count="36">
    <mergeCell ref="D11:F11"/>
    <mergeCell ref="D3:G3"/>
    <mergeCell ref="A8:D8"/>
    <mergeCell ref="N2:P2"/>
    <mergeCell ref="A15:B15"/>
    <mergeCell ref="A4:D4"/>
    <mergeCell ref="G5:H6"/>
    <mergeCell ref="A3:C3"/>
    <mergeCell ref="N1:P1"/>
    <mergeCell ref="I5:J6"/>
    <mergeCell ref="G8:H8"/>
    <mergeCell ref="A5:D7"/>
    <mergeCell ref="E8:F8"/>
    <mergeCell ref="J11:L11"/>
    <mergeCell ref="A2:L2"/>
    <mergeCell ref="E4:F4"/>
    <mergeCell ref="A16:B16"/>
    <mergeCell ref="G7:H7"/>
    <mergeCell ref="I7:J7"/>
    <mergeCell ref="A18:B18"/>
    <mergeCell ref="K8:L8"/>
    <mergeCell ref="A14:B14"/>
    <mergeCell ref="E5:F6"/>
    <mergeCell ref="K5:L6"/>
    <mergeCell ref="I8:J8"/>
    <mergeCell ref="A17:B17"/>
    <mergeCell ref="G11:I11"/>
    <mergeCell ref="G4:H4"/>
    <mergeCell ref="H3:L3"/>
    <mergeCell ref="I4:J4"/>
    <mergeCell ref="K7:L7"/>
    <mergeCell ref="A11:C11"/>
    <mergeCell ref="E7:F7"/>
    <mergeCell ref="A19:B19"/>
    <mergeCell ref="A1:L1"/>
    <mergeCell ref="K4:L4"/>
  </mergeCells>
  <conditionalFormatting sqref="L15">
    <cfRule type="cellIs" priority="1" operator="greaterThanOrEqual" dxfId="0">
      <formula>75</formula>
    </cfRule>
    <cfRule type="cellIs" priority="2" operator="between" dxfId="1">
      <formula>60</formula>
      <formula>74.999</formula>
    </cfRule>
    <cfRule type="cellIs" priority="3" operator="lessThan" dxfId="2">
      <formula>60</formula>
    </cfRule>
  </conditionalFormatting>
  <conditionalFormatting sqref="L16">
    <cfRule type="cellIs" priority="4" operator="greaterThanOrEqual" dxfId="0">
      <formula>75</formula>
    </cfRule>
    <cfRule type="cellIs" priority="5" operator="between" dxfId="1">
      <formula>60</formula>
      <formula>74.999</formula>
    </cfRule>
    <cfRule type="cellIs" priority="6" operator="lessThan" dxfId="2">
      <formula>60</formula>
    </cfRule>
  </conditionalFormatting>
  <conditionalFormatting sqref="L17">
    <cfRule type="cellIs" priority="7" operator="greaterThanOrEqual" dxfId="0">
      <formula>75</formula>
    </cfRule>
    <cfRule type="cellIs" priority="8" operator="between" dxfId="1">
      <formula>60</formula>
      <formula>74.999</formula>
    </cfRule>
    <cfRule type="cellIs" priority="9" operator="lessThan" dxfId="2">
      <formula>60</formula>
    </cfRule>
  </conditionalFormatting>
  <conditionalFormatting sqref="L18">
    <cfRule type="cellIs" priority="10" operator="greaterThanOrEqual" dxfId="0">
      <formula>75</formula>
    </cfRule>
    <cfRule type="cellIs" priority="11" operator="between" dxfId="1">
      <formula>60</formula>
      <formula>74.999</formula>
    </cfRule>
    <cfRule type="cellIs" priority="12" operator="lessThan" dxfId="2">
      <formula>60</formula>
    </cfRule>
  </conditionalFormatting>
  <conditionalFormatting sqref="A5">
    <cfRule type="cellIs" priority="13" operator="greaterThanOrEqual" dxfId="0">
      <formula>75</formula>
    </cfRule>
    <cfRule type="cellIs" priority="14" operator="between" dxfId="1">
      <formula>60</formula>
      <formula>74.999</formula>
    </cfRule>
    <cfRule type="cellIs" priority="15" operator="lessThan" dxfId="2">
      <formula>60</formula>
    </cfRule>
  </conditionalFormatting>
  <conditionalFormatting sqref="A8">
    <cfRule type="expression" priority="16" dxfId="0">
      <formula>$A$5&gt;=75</formula>
    </cfRule>
    <cfRule type="expression" priority="17" dxfId="1">
      <formula>AND($A$5&gt;=60,$A$5&lt;75)</formula>
    </cfRule>
    <cfRule type="expression" priority="18" dxfId="2">
      <formula>$A$5&lt;60</formula>
    </cfRule>
  </conditionalFormatting>
  <conditionalFormatting sqref="E5">
    <cfRule type="cellIs" priority="19" operator="greaterThanOrEqual" dxfId="0">
      <formula>75</formula>
    </cfRule>
    <cfRule type="cellIs" priority="20" operator="between" dxfId="1">
      <formula>60</formula>
      <formula>74.999</formula>
    </cfRule>
    <cfRule type="cellIs" priority="21" operator="lessThan" dxfId="2">
      <formula>60</formula>
    </cfRule>
  </conditionalFormatting>
  <conditionalFormatting sqref="G5">
    <cfRule type="cellIs" priority="22" operator="greaterThanOrEqual" dxfId="0">
      <formula>75</formula>
    </cfRule>
    <cfRule type="cellIs" priority="23" operator="between" dxfId="1">
      <formula>60</formula>
      <formula>74.999</formula>
    </cfRule>
    <cfRule type="cellIs" priority="24" operator="lessThan" dxfId="2">
      <formula>60</formula>
    </cfRule>
  </conditionalFormatting>
  <conditionalFormatting sqref="I5">
    <cfRule type="cellIs" priority="25" operator="greaterThanOrEqual" dxfId="0">
      <formula>75</formula>
    </cfRule>
    <cfRule type="cellIs" priority="26" operator="between" dxfId="1">
      <formula>60</formula>
      <formula>74.999</formula>
    </cfRule>
    <cfRule type="cellIs" priority="27" operator="lessThan" dxfId="2">
      <formula>60</formula>
    </cfRule>
  </conditionalFormatting>
  <conditionalFormatting sqref="K5">
    <cfRule type="cellIs" priority="28" operator="greaterThanOrEqual" dxfId="0">
      <formula>75</formula>
    </cfRule>
    <cfRule type="cellIs" priority="29" operator="between" dxfId="1">
      <formula>60</formula>
      <formula>74.999</formula>
    </cfRule>
    <cfRule type="cellIs" priority="30" operator="lessThan" dxfId="2">
      <formula>60</formula>
    </cfRule>
  </conditionalFormatting>
  <conditionalFormatting sqref="C15:C19">
    <cfRule type="expression" priority="31" dxfId="0">
      <formula>AND(ISNUMBER(C15),C15&gt;=75)</formula>
    </cfRule>
    <cfRule type="expression" priority="32" dxfId="1">
      <formula>AND(ISNUMBER(C15),C15&gt;=60,C15&lt;75)</formula>
    </cfRule>
    <cfRule type="expression" priority="33" dxfId="2">
      <formula>AND(ISNUMBER(C15),C15&lt;60)</formula>
    </cfRule>
  </conditionalFormatting>
  <conditionalFormatting sqref="D15:D19">
    <cfRule type="expression" priority="34" dxfId="0">
      <formula>AND(ISNUMBER(D15),D15&gt;=75)</formula>
    </cfRule>
    <cfRule type="expression" priority="35" dxfId="1">
      <formula>AND(ISNUMBER(D15),D15&gt;=60,D15&lt;75)</formula>
    </cfRule>
    <cfRule type="expression" priority="36" dxfId="2">
      <formula>AND(ISNUMBER(D15),D15&lt;60)</formula>
    </cfRule>
  </conditionalFormatting>
  <conditionalFormatting sqref="E15:E19">
    <cfRule type="expression" priority="37" dxfId="0">
      <formula>AND(ISNUMBER(E15),E15&gt;=75)</formula>
    </cfRule>
    <cfRule type="expression" priority="38" dxfId="1">
      <formula>AND(ISNUMBER(E15),E15&gt;=60,E15&lt;75)</formula>
    </cfRule>
    <cfRule type="expression" priority="39" dxfId="2">
      <formula>AND(ISNUMBER(E15),E15&lt;60)</formula>
    </cfRule>
  </conditionalFormatting>
  <conditionalFormatting sqref="F15:F19">
    <cfRule type="expression" priority="40" dxfId="0">
      <formula>AND(ISNUMBER(F15),F15&gt;=75)</formula>
    </cfRule>
    <cfRule type="expression" priority="41" dxfId="1">
      <formula>AND(ISNUMBER(F15),F15&gt;=60,F15&lt;75)</formula>
    </cfRule>
    <cfRule type="expression" priority="42" dxfId="2">
      <formula>AND(ISNUMBER(F15),F15&lt;60)</formula>
    </cfRule>
  </conditionalFormatting>
  <conditionalFormatting sqref="G15:G19">
    <cfRule type="expression" priority="43" dxfId="0">
      <formula>AND(ISNUMBER(G15),G15&gt;=75)</formula>
    </cfRule>
    <cfRule type="expression" priority="44" dxfId="1">
      <formula>AND(ISNUMBER(G15),G15&gt;=60,G15&lt;75)</formula>
    </cfRule>
    <cfRule type="expression" priority="45" dxfId="2">
      <formula>AND(ISNUMBER(G15),G15&lt;60)</formula>
    </cfRule>
  </conditionalFormatting>
  <dataValidations count="1">
    <dataValidation sqref="D3" showDropDown="0" showInputMessage="0" showErrorMessage="0" allowBlank="0" type="list">
      <formula1>=$V$5:$V$9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28" customWidth="1" min="4" max="4"/>
    <col width="10" customWidth="1" min="5" max="5"/>
    <col width="10" customWidth="1" min="6" max="6"/>
    <col width="11" customWidth="1" min="7" max="7"/>
    <col width="10" customWidth="1" min="8" max="8"/>
    <col width="48" customWidth="1" min="9" max="9"/>
    <col width="14" customWidth="1" min="10" max="10"/>
    <col width="15" customWidth="1" min="11" max="11"/>
    <col width="38" customWidth="1" min="12" max="12"/>
    <col width="38" customWidth="1" min="13" max="13"/>
    <col width="38" customWidth="1" min="14" max="14"/>
    <col width="30" customWidth="1" min="15" max="15"/>
    <col width="17" customWidth="1" min="16" max="16"/>
    <col width="38" customWidth="1" min="17" max="17"/>
    <col width="18" customWidth="1" min="18" max="18"/>
    <col width="60" customWidth="1" min="19" max="19"/>
    <col width="15" customWidth="1" min="20" max="20"/>
    <col width="19" customWidth="1" min="21" max="21"/>
    <col width="17" customWidth="1" min="22" max="22"/>
    <col width="17" customWidth="1" min="23" max="23"/>
    <col width="17" customWidth="1" min="24" max="24"/>
  </cols>
  <sheetData>
    <row r="1">
      <c r="A1" s="55" t="inlineStr">
        <is>
          <t>Domain</t>
        </is>
      </c>
      <c r="B1" s="55" t="inlineStr">
        <is>
          <t>Table Name</t>
        </is>
      </c>
      <c r="C1" s="55" t="inlineStr">
        <is>
          <t>CDE ColumnName</t>
        </is>
      </c>
      <c r="D1" s="55" t="inlineStr">
        <is>
          <t>Column Name</t>
        </is>
      </c>
      <c r="E1" s="55" t="inlineStr">
        <is>
          <t>DQ Score</t>
        </is>
      </c>
      <c r="F1" s="55" t="inlineStr">
        <is>
          <t>Glossary</t>
        </is>
      </c>
      <c r="G1" s="55" t="inlineStr">
        <is>
          <t>Ownership</t>
        </is>
      </c>
      <c r="H1" s="55" t="inlineStr">
        <is>
          <t>Metadata</t>
        </is>
      </c>
      <c r="I1" s="55" t="inlineStr">
        <is>
          <t>DQ Rule Name</t>
        </is>
      </c>
      <c r="J1" s="55" t="inlineStr">
        <is>
          <t>DQ Dimension</t>
        </is>
      </c>
      <c r="K1" s="55" t="inlineStr">
        <is>
          <t>DQ Rule Score</t>
        </is>
      </c>
      <c r="L1" s="55" t="inlineStr">
        <is>
          <t>Domain ID</t>
        </is>
      </c>
      <c r="M1" s="55" t="inlineStr">
        <is>
          <t>CDE ID</t>
        </is>
      </c>
      <c r="N1" s="55" t="inlineStr">
        <is>
          <t>Glossary ID</t>
        </is>
      </c>
      <c r="O1" s="55" t="inlineStr">
        <is>
          <t>Glossary Name</t>
        </is>
      </c>
      <c r="P1" s="55" t="inlineStr">
        <is>
          <t>Glossary Status</t>
        </is>
      </c>
      <c r="Q1" s="55" t="inlineStr">
        <is>
          <t>Owner ID</t>
        </is>
      </c>
      <c r="R1" s="55" t="inlineStr">
        <is>
          <t>Owner Name</t>
        </is>
      </c>
      <c r="S1" s="55" t="inlineStr">
        <is>
          <t>Description</t>
        </is>
      </c>
      <c r="T1" s="55" t="inlineStr">
        <is>
          <t>DQ Accuracy %</t>
        </is>
      </c>
      <c r="U1" s="55" t="inlineStr">
        <is>
          <t>DQ Completeness %</t>
        </is>
      </c>
      <c r="V1" s="55" t="inlineStr">
        <is>
          <t>DQ Conformity %</t>
        </is>
      </c>
      <c r="W1" s="55" t="inlineStr">
        <is>
          <t>DQ Timeliness %</t>
        </is>
      </c>
      <c r="X1" s="55" t="inlineStr">
        <is>
          <t>DQ Uniqueness %</t>
        </is>
      </c>
    </row>
    <row r="2">
      <c r="A2" t="inlineStr">
        <is>
          <t>Claims</t>
        </is>
      </c>
      <c r="B2" t="inlineStr">
        <is>
          <t>CLAIM</t>
        </is>
      </c>
      <c r="C2" t="inlineStr">
        <is>
          <t>Claim ID</t>
        </is>
      </c>
      <c r="D2" t="inlineStr">
        <is>
          <t>CLAIM_ID</t>
        </is>
      </c>
      <c r="E2" s="56" t="inlineStr">
        <is>
          <t>N</t>
        </is>
      </c>
      <c r="F2" s="56" t="inlineStr">
        <is>
          <t>Y</t>
        </is>
      </c>
      <c r="G2" s="56" t="inlineStr">
        <is>
          <t>Y</t>
        </is>
      </c>
      <c r="H2" s="56" t="inlineStr">
        <is>
          <t>Y</t>
        </is>
      </c>
      <c r="I2" t="inlineStr"/>
      <c r="J2" t="inlineStr"/>
      <c r="K2" t="inlineStr"/>
      <c r="L2" t="inlineStr">
        <is>
          <t>4f5436b1-84a6-43d8-b7bf-89490196eada</t>
        </is>
      </c>
      <c r="M2" t="inlineStr">
        <is>
          <t>c8c62950-acb2-492b-8b69-7d208c15890d</t>
        </is>
      </c>
      <c r="N2" t="inlineStr">
        <is>
          <t>e5cdc124-e6da-4aa9-8515-37e6ee0ca91b</t>
        </is>
      </c>
      <c r="O2" t="inlineStr">
        <is>
          <t>Claim ID</t>
        </is>
      </c>
      <c r="P2" t="inlineStr">
        <is>
          <t>Published</t>
        </is>
      </c>
      <c r="Q2" t="inlineStr">
        <is>
          <t>fe22eb5f-e472-45c3-8b85-d71c73ea8adc</t>
        </is>
      </c>
      <c r="R2" t="inlineStr">
        <is>
          <t>Srinivasa Dasari</t>
        </is>
      </c>
      <c r="S2" t="inlineStr">
        <is>
          <t>Unique system-generated identifier of a claim. It is the primary key of CLAIM and the foreign key in CLAIM_ASSESSMENT, CLAIM_RESERVE and CLAIM_SETTLEMENT. Critical because it is the join key for the whole model, and orphaned values break the link between a claim and its assessments, reserves and settlements.</t>
        </is>
      </c>
      <c r="T2" t="inlineStr"/>
      <c r="U2" t="inlineStr"/>
      <c r="V2" t="inlineStr"/>
      <c r="W2" t="inlineStr"/>
      <c r="X2" t="inlineStr"/>
    </row>
    <row r="3">
      <c r="A3" t="inlineStr">
        <is>
          <t>Claims</t>
        </is>
      </c>
      <c r="B3" t="inlineStr">
        <is>
          <t>CLAIM</t>
        </is>
      </c>
      <c r="C3" t="inlineStr">
        <is>
          <t>Claim Number</t>
        </is>
      </c>
      <c r="D3" t="inlineStr">
        <is>
          <t>CLAIM_NUMBER</t>
        </is>
      </c>
      <c r="E3" s="56" t="inlineStr">
        <is>
          <t>Y</t>
        </is>
      </c>
      <c r="F3" s="56" t="inlineStr">
        <is>
          <t>Y</t>
        </is>
      </c>
      <c r="G3" s="56" t="inlineStr">
        <is>
          <t>Y</t>
        </is>
      </c>
      <c r="H3" s="56" t="inlineStr">
        <is>
          <t>Y</t>
        </is>
      </c>
      <c r="I3" t="inlineStr">
        <is>
          <t>Claim Number is unique</t>
        </is>
      </c>
      <c r="J3" t="inlineStr">
        <is>
          <t>Uniqueness</t>
        </is>
      </c>
      <c r="K3" t="inlineStr">
        <is>
          <t>97.1%</t>
        </is>
      </c>
      <c r="L3" t="inlineStr">
        <is>
          <t>4f5436b1-84a6-43d8-b7bf-89490196eada</t>
        </is>
      </c>
      <c r="M3" t="inlineStr">
        <is>
          <t>0f845d9b-fefb-4677-8de4-638abf1007c6</t>
        </is>
      </c>
      <c r="N3" t="inlineStr">
        <is>
          <t>6debf692-6460-4b84-bc99-5bcb201c6ad5</t>
        </is>
      </c>
      <c r="O3" t="inlineStr">
        <is>
          <t>Claim Number</t>
        </is>
      </c>
      <c r="P3" t="inlineStr">
        <is>
          <t>Published</t>
        </is>
      </c>
      <c r="Q3" t="inlineStr">
        <is>
          <t>fe22eb5f-e472-45c3-8b85-d71c73ea8adc</t>
        </is>
      </c>
      <c r="R3" t="inlineStr">
        <is>
          <t>Srinivasa Dasari</t>
        </is>
      </c>
      <c r="S3" t="inlineStr">
        <is>
          <t>Business identifier of the claim. Critical because duplicates cause double handling and double payment.</t>
        </is>
      </c>
      <c r="T3" t="inlineStr"/>
      <c r="U3" t="inlineStr"/>
      <c r="V3" t="inlineStr"/>
      <c r="W3" t="inlineStr"/>
      <c r="X3" t="n">
        <v>97.09999999999999</v>
      </c>
    </row>
    <row r="4">
      <c r="A4" t="inlineStr">
        <is>
          <t>Claims</t>
        </is>
      </c>
      <c r="B4" t="inlineStr">
        <is>
          <t>CLAIM</t>
        </is>
      </c>
      <c r="C4" t="inlineStr">
        <is>
          <t>Policy Number</t>
        </is>
      </c>
      <c r="D4" t="inlineStr">
        <is>
          <t>POLICY_NUMBER</t>
        </is>
      </c>
      <c r="E4" s="56" t="inlineStr">
        <is>
          <t>Y</t>
        </is>
      </c>
      <c r="F4" s="56" t="inlineStr">
        <is>
          <t>Y</t>
        </is>
      </c>
      <c r="G4" s="56" t="inlineStr">
        <is>
          <t>Y</t>
        </is>
      </c>
      <c r="H4" s="56" t="inlineStr">
        <is>
          <t>Y</t>
        </is>
      </c>
      <c r="I4" t="inlineStr">
        <is>
          <t>Policy Number has a valid value</t>
        </is>
      </c>
      <c r="J4" t="inlineStr">
        <is>
          <t>Conformity</t>
        </is>
      </c>
      <c r="K4" t="inlineStr">
        <is>
          <t>98.6%</t>
        </is>
      </c>
      <c r="L4" t="inlineStr">
        <is>
          <t>4f5436b1-84a6-43d8-b7bf-89490196eada</t>
        </is>
      </c>
      <c r="M4" t="inlineStr">
        <is>
          <t>2e84cee1-8e91-412d-8cfc-8eab8de6ad9a</t>
        </is>
      </c>
      <c r="N4" t="inlineStr">
        <is>
          <t>4009b1d9-0310-420d-b0d1-7aac2a8ddda6</t>
        </is>
      </c>
      <c r="O4" t="inlineStr">
        <is>
          <t>Policy Number</t>
        </is>
      </c>
      <c r="P4" t="inlineStr">
        <is>
          <t>Published</t>
        </is>
      </c>
      <c r="Q4" t="inlineStr">
        <is>
          <t>fe22eb5f-e472-45c3-8b85-d71c73ea8adc</t>
        </is>
      </c>
      <c r="R4" t="inlineStr">
        <is>
          <t>Srinivasa Dasari</t>
        </is>
      </c>
      <c r="S4" t="inlineStr">
        <is>
          <t>Identifier of the policy the claim is made against. Critical because a wrong value means paying against the wrong coverage.</t>
        </is>
      </c>
      <c r="T4" t="inlineStr"/>
      <c r="U4" t="inlineStr"/>
      <c r="V4" t="n">
        <v>98.59999999999999</v>
      </c>
      <c r="W4" t="inlineStr"/>
      <c r="X4" t="inlineStr"/>
    </row>
    <row r="5">
      <c r="A5" t="inlineStr">
        <is>
          <t>Claims</t>
        </is>
      </c>
      <c r="B5" t="inlineStr">
        <is>
          <t>CLAIM</t>
        </is>
      </c>
      <c r="C5" t="inlineStr">
        <is>
          <t>Claim Type</t>
        </is>
      </c>
      <c r="D5" t="inlineStr">
        <is>
          <t>CLAIM_TYPE</t>
        </is>
      </c>
      <c r="E5" s="56" t="inlineStr">
        <is>
          <t>Y</t>
        </is>
      </c>
      <c r="F5" s="56" t="inlineStr">
        <is>
          <t>Y</t>
        </is>
      </c>
      <c r="G5" s="56" t="inlineStr">
        <is>
          <t>Y</t>
        </is>
      </c>
      <c r="H5" s="56" t="inlineStr">
        <is>
          <t>Y</t>
        </is>
      </c>
      <c r="I5" t="inlineStr">
        <is>
          <t>Claim Type has a valid value</t>
        </is>
      </c>
      <c r="J5" t="inlineStr">
        <is>
          <t>Conformity</t>
        </is>
      </c>
      <c r="K5" t="inlineStr">
        <is>
          <t>99.1%</t>
        </is>
      </c>
      <c r="L5" t="inlineStr">
        <is>
          <t>4f5436b1-84a6-43d8-b7bf-89490196eada</t>
        </is>
      </c>
      <c r="M5" t="inlineStr">
        <is>
          <t>145a95e1-e6d0-4f3e-8f54-da3140d12b7b</t>
        </is>
      </c>
      <c r="N5" t="inlineStr">
        <is>
          <t>670509ab-a947-4255-b90c-750bde935996</t>
        </is>
      </c>
      <c r="O5" t="inlineStr">
        <is>
          <t>Claim Type</t>
        </is>
      </c>
      <c r="P5" t="inlineStr">
        <is>
          <t>Published</t>
        </is>
      </c>
      <c r="Q5" t="inlineStr">
        <is>
          <t>fe22eb5f-e472-45c3-8b85-d71c73ea8adc</t>
        </is>
      </c>
      <c r="R5" t="inlineStr">
        <is>
          <t>Srinivasa Dasari</t>
        </is>
      </c>
      <c r="S5" t="inlineStr">
        <is>
          <t>Product line or category of the claim. Critical because it drives reserving approach and the regulatory code.</t>
        </is>
      </c>
      <c r="T5" t="inlineStr"/>
      <c r="U5" t="inlineStr"/>
      <c r="V5" t="n">
        <v>99.09999999999999</v>
      </c>
      <c r="W5" t="inlineStr"/>
      <c r="X5" t="inlineStr"/>
    </row>
    <row r="6">
      <c r="A6" t="inlineStr">
        <is>
          <t>Claims</t>
        </is>
      </c>
      <c r="B6" t="inlineStr">
        <is>
          <t>CLAIM</t>
        </is>
      </c>
      <c r="C6" t="inlineStr">
        <is>
          <t>Claim Status</t>
        </is>
      </c>
      <c r="D6" t="inlineStr">
        <is>
          <t>CLAIM_STATUS</t>
        </is>
      </c>
      <c r="E6" s="56" t="inlineStr">
        <is>
          <t>N</t>
        </is>
      </c>
      <c r="F6" s="56" t="inlineStr">
        <is>
          <t>Y</t>
        </is>
      </c>
      <c r="G6" s="56" t="inlineStr">
        <is>
          <t>Y</t>
        </is>
      </c>
      <c r="H6" s="56" t="inlineStr">
        <is>
          <t>Y</t>
        </is>
      </c>
      <c r="I6" t="inlineStr"/>
      <c r="J6" t="inlineStr"/>
      <c r="K6" t="inlineStr"/>
      <c r="L6" t="inlineStr">
        <is>
          <t>4f5436b1-84a6-43d8-b7bf-89490196eada</t>
        </is>
      </c>
      <c r="M6" t="inlineStr">
        <is>
          <t>3f59ada4-7a9b-4b62-aec6-a013a42cdd99</t>
        </is>
      </c>
      <c r="N6" t="inlineStr">
        <is>
          <t>0095a321-199e-4164-ad29-78dc10aa46bc</t>
        </is>
      </c>
      <c r="O6" t="inlineStr">
        <is>
          <t>Claim Status</t>
        </is>
      </c>
      <c r="P6" t="inlineStr">
        <is>
          <t>Published</t>
        </is>
      </c>
      <c r="Q6" t="inlineStr">
        <is>
          <t>fe22eb5f-e472-45c3-8b85-d71c73ea8adc</t>
        </is>
      </c>
      <c r="R6" t="inlineStr">
        <is>
          <t>Srinivasa Dasari</t>
        </is>
      </c>
      <c r="S6" t="inlineStr">
        <is>
          <t>Stage of the claim in its lifecycle. Critical because it drives lifecycle reporting, reserving and settlement eligibility.</t>
        </is>
      </c>
      <c r="T6" t="inlineStr"/>
      <c r="U6" t="inlineStr"/>
      <c r="V6" t="inlineStr"/>
      <c r="W6" t="inlineStr"/>
      <c r="X6" t="inlineStr"/>
    </row>
    <row r="7">
      <c r="A7" t="inlineStr">
        <is>
          <t>Claims</t>
        </is>
      </c>
      <c r="B7" t="inlineStr">
        <is>
          <t>CLAIM</t>
        </is>
      </c>
      <c r="C7" t="inlineStr">
        <is>
          <t>Loss Date</t>
        </is>
      </c>
      <c r="D7" t="inlineStr">
        <is>
          <t>LOSS_DATE</t>
        </is>
      </c>
      <c r="E7" s="56" t="inlineStr">
        <is>
          <t>N</t>
        </is>
      </c>
      <c r="F7" s="56" t="inlineStr">
        <is>
          <t>Y</t>
        </is>
      </c>
      <c r="G7" s="56" t="inlineStr">
        <is>
          <t>Y</t>
        </is>
      </c>
      <c r="H7" s="56" t="inlineStr">
        <is>
          <t>Y</t>
        </is>
      </c>
      <c r="I7" t="inlineStr"/>
      <c r="J7" t="inlineStr"/>
      <c r="K7" t="inlineStr"/>
      <c r="L7" t="inlineStr">
        <is>
          <t>4f5436b1-84a6-43d8-b7bf-89490196eada</t>
        </is>
      </c>
      <c r="M7" t="inlineStr">
        <is>
          <t>ed45bed8-28e9-44dd-abf0-c369a23619e8</t>
        </is>
      </c>
      <c r="N7" t="inlineStr">
        <is>
          <t>e8e86ff3-81f3-472b-a964-911bb6a38b2d</t>
        </is>
      </c>
      <c r="O7" t="inlineStr">
        <is>
          <t>Loss Date</t>
        </is>
      </c>
      <c r="P7" t="inlineStr">
        <is>
          <t>Published</t>
        </is>
      </c>
      <c r="Q7" t="inlineStr">
        <is>
          <t>fe22eb5f-e472-45c3-8b85-d71c73ea8adc</t>
        </is>
      </c>
      <c r="R7" t="inlineStr">
        <is>
          <t>Srinivasa Dasari</t>
        </is>
      </c>
      <c r="S7" t="inlineStr">
        <is>
          <t>Date the insured event occurred. Critical for coverage validity and late-reporting checks.</t>
        </is>
      </c>
      <c r="T7" t="inlineStr"/>
      <c r="U7" t="inlineStr"/>
      <c r="V7" t="inlineStr"/>
      <c r="W7" t="inlineStr"/>
      <c r="X7" t="inlineStr"/>
    </row>
    <row r="8">
      <c r="A8" t="inlineStr">
        <is>
          <t>Claims</t>
        </is>
      </c>
      <c r="B8" t="inlineStr">
        <is>
          <t>CLAIM</t>
        </is>
      </c>
      <c r="C8" t="inlineStr">
        <is>
          <t>Reported Date</t>
        </is>
      </c>
      <c r="D8" t="inlineStr">
        <is>
          <t>REPORTED_DATE</t>
        </is>
      </c>
      <c r="E8" s="56" t="inlineStr">
        <is>
          <t>N</t>
        </is>
      </c>
      <c r="F8" s="56" t="inlineStr">
        <is>
          <t>Y</t>
        </is>
      </c>
      <c r="G8" s="56" t="inlineStr">
        <is>
          <t>Y</t>
        </is>
      </c>
      <c r="H8" s="56" t="inlineStr">
        <is>
          <t>Y</t>
        </is>
      </c>
      <c r="I8" t="inlineStr"/>
      <c r="J8" t="inlineStr"/>
      <c r="K8" t="inlineStr"/>
      <c r="L8" t="inlineStr">
        <is>
          <t>4f5436b1-84a6-43d8-b7bf-89490196eada</t>
        </is>
      </c>
      <c r="M8" t="inlineStr">
        <is>
          <t>c1a5e2aa-24a9-4e66-b6ef-1c30fe96ebb4</t>
        </is>
      </c>
      <c r="N8" t="inlineStr">
        <is>
          <t>6e580308-c39f-4860-a111-1c620a6b8f6f</t>
        </is>
      </c>
      <c r="O8" t="inlineStr">
        <is>
          <t>Reported Date</t>
        </is>
      </c>
      <c r="P8" t="inlineStr">
        <is>
          <t>Published</t>
        </is>
      </c>
      <c r="Q8" t="inlineStr">
        <is>
          <t>fe22eb5f-e472-45c3-8b85-d71c73ea8adc</t>
        </is>
      </c>
      <c r="R8" t="inlineStr">
        <is>
          <t>Srinivasa Dasari</t>
        </is>
      </c>
      <c r="S8" t="inlineStr">
        <is>
          <t>Date the claim was reported to the insurer. Critical for turnaround and SLA measurement.</t>
        </is>
      </c>
      <c r="T8" t="inlineStr"/>
      <c r="U8" t="inlineStr"/>
      <c r="V8" t="inlineStr"/>
      <c r="W8" t="inlineStr"/>
      <c r="X8" t="inlineStr"/>
    </row>
    <row r="9">
      <c r="A9" t="inlineStr">
        <is>
          <t>Claims</t>
        </is>
      </c>
      <c r="B9" t="inlineStr">
        <is>
          <t>CLAIM</t>
        </is>
      </c>
      <c r="C9" t="inlineStr">
        <is>
          <t>Claim Amount Requested</t>
        </is>
      </c>
      <c r="D9" t="inlineStr">
        <is>
          <t>CLAIM_AMOUNT_REQUESTED</t>
        </is>
      </c>
      <c r="E9" s="56" t="inlineStr">
        <is>
          <t>N</t>
        </is>
      </c>
      <c r="F9" s="56" t="inlineStr">
        <is>
          <t>Y</t>
        </is>
      </c>
      <c r="G9" s="56" t="inlineStr">
        <is>
          <t>Y</t>
        </is>
      </c>
      <c r="H9" s="56" t="inlineStr">
        <is>
          <t>Y</t>
        </is>
      </c>
      <c r="I9" t="inlineStr"/>
      <c r="J9" t="inlineStr"/>
      <c r="K9" t="inlineStr"/>
      <c r="L9" t="inlineStr">
        <is>
          <t>4f5436b1-84a6-43d8-b7bf-89490196eada</t>
        </is>
      </c>
      <c r="M9" t="inlineStr">
        <is>
          <t>ac68cdaf-479a-4f57-ac01-c20d1732d368</t>
        </is>
      </c>
      <c r="N9" t="inlineStr">
        <is>
          <t>237014ba-8bce-487e-8e04-fd80b8d8482f</t>
        </is>
      </c>
      <c r="O9" t="inlineStr">
        <is>
          <t>Claim Amount Requested</t>
        </is>
      </c>
      <c r="P9" t="inlineStr">
        <is>
          <t>Published</t>
        </is>
      </c>
      <c r="Q9" t="inlineStr">
        <is>
          <t>fe22eb5f-e472-45c3-8b85-d71c73ea8adc</t>
        </is>
      </c>
      <c r="R9" t="inlineStr">
        <is>
          <t>Srinivasa Dasari</t>
        </is>
      </c>
      <c r="S9" t="inlineStr">
        <is>
          <t>Amount the claimant is asking to be paid. Core financial exposure figure.</t>
        </is>
      </c>
      <c r="T9" t="inlineStr"/>
      <c r="U9" t="inlineStr"/>
      <c r="V9" t="inlineStr"/>
      <c r="W9" t="inlineStr"/>
      <c r="X9" t="inlineStr"/>
    </row>
    <row r="10">
      <c r="A10" t="inlineStr">
        <is>
          <t>Claims</t>
        </is>
      </c>
      <c r="B10" t="inlineStr">
        <is>
          <t>CLAIM</t>
        </is>
      </c>
      <c r="C10" t="inlineStr">
        <is>
          <t>Estimated Loss Amount</t>
        </is>
      </c>
      <c r="D10" t="inlineStr">
        <is>
          <t>ESTIMATED_LOSS_AMOUNT</t>
        </is>
      </c>
      <c r="E10" s="56" t="inlineStr">
        <is>
          <t>Y</t>
        </is>
      </c>
      <c r="F10" s="56" t="inlineStr">
        <is>
          <t>Y</t>
        </is>
      </c>
      <c r="G10" s="56" t="inlineStr">
        <is>
          <t>Y</t>
        </is>
      </c>
      <c r="H10" s="56" t="inlineStr">
        <is>
          <t>Y</t>
        </is>
      </c>
      <c r="I10" t="inlineStr">
        <is>
          <t>Estimated Loss Amount is filled</t>
        </is>
      </c>
      <c r="J10" t="inlineStr">
        <is>
          <t>Completeness</t>
        </is>
      </c>
      <c r="K10" t="inlineStr">
        <is>
          <t>99.1%</t>
        </is>
      </c>
      <c r="L10" t="inlineStr">
        <is>
          <t>4f5436b1-84a6-43d8-b7bf-89490196eada</t>
        </is>
      </c>
      <c r="M10" t="inlineStr">
        <is>
          <t>a8ac98d5-50f3-47d8-ad73-4f1e564d89a9</t>
        </is>
      </c>
      <c r="N10" t="inlineStr">
        <is>
          <t>e2c9160d-5e9a-46f4-a8a0-bd7cf37a817a</t>
        </is>
      </c>
      <c r="O10" t="inlineStr">
        <is>
          <t>Estimated Loss Amount</t>
        </is>
      </c>
      <c r="P10" t="inlineStr">
        <is>
          <t>Published</t>
        </is>
      </c>
      <c r="Q10" t="inlineStr">
        <is>
          <t>fe22eb5f-e472-45c3-8b85-d71c73ea8adc</t>
        </is>
      </c>
      <c r="R10" t="inlineStr">
        <is>
          <t>Srinivasa Dasari</t>
        </is>
      </c>
      <c r="S10" t="inlineStr">
        <is>
          <t>The insurer's estimate of the total loss, recorded at claim level (CLAIM) and assessment level (CLAIM_ASSESSMENT). Core financial exposure figure; the two values should be governed consistently.</t>
        </is>
      </c>
      <c r="T10" t="inlineStr"/>
      <c r="U10" t="n">
        <v>99.09999999999999</v>
      </c>
      <c r="V10" t="inlineStr"/>
      <c r="W10" t="inlineStr"/>
      <c r="X10" t="inlineStr"/>
    </row>
    <row r="11">
      <c r="A11" t="inlineStr">
        <is>
          <t>Claims</t>
        </is>
      </c>
      <c r="B11" t="inlineStr">
        <is>
          <t>CLAIM</t>
        </is>
      </c>
      <c r="C11" t="inlineStr">
        <is>
          <t>Regulatory Reporting Code</t>
        </is>
      </c>
      <c r="D11" t="inlineStr">
        <is>
          <t>REGULATORY_REPORTING_CODE</t>
        </is>
      </c>
      <c r="E11" s="56" t="inlineStr">
        <is>
          <t>N</t>
        </is>
      </c>
      <c r="F11" s="56" t="inlineStr">
        <is>
          <t>Y</t>
        </is>
      </c>
      <c r="G11" s="56" t="inlineStr">
        <is>
          <t>Y</t>
        </is>
      </c>
      <c r="H11" s="56" t="inlineStr">
        <is>
          <t>Y</t>
        </is>
      </c>
      <c r="I11" t="inlineStr"/>
      <c r="J11" t="inlineStr"/>
      <c r="K11" t="inlineStr"/>
      <c r="L11" t="inlineStr">
        <is>
          <t>4f5436b1-84a6-43d8-b7bf-89490196eada</t>
        </is>
      </c>
      <c r="M11" t="inlineStr">
        <is>
          <t>0d41bab0-f1a7-4c8a-b83a-c7b32235e537</t>
        </is>
      </c>
      <c r="N11" t="inlineStr">
        <is>
          <t>36468f7b-4971-408e-9b89-7a0989004b30</t>
        </is>
      </c>
      <c r="O11" t="inlineStr">
        <is>
          <t>Regulatory Reporting Code</t>
        </is>
      </c>
      <c r="P11" t="inlineStr">
        <is>
          <t>Published</t>
        </is>
      </c>
      <c r="Q11" t="inlineStr">
        <is>
          <t>fe22eb5f-e472-45c3-8b85-d71c73ea8adc</t>
        </is>
      </c>
      <c r="R11" t="inlineStr">
        <is>
          <t>Srinivasa Dasari</t>
        </is>
      </c>
      <c r="S11" t="inlineStr">
        <is>
          <t>Code that classifies the claim for regulatory reporting. Critical because it determines how the claim appears in regulatory reports.</t>
        </is>
      </c>
      <c r="T11" t="inlineStr"/>
      <c r="U11" t="inlineStr"/>
      <c r="V11" t="inlineStr"/>
      <c r="W11" t="inlineStr"/>
      <c r="X11" t="inlineStr"/>
    </row>
    <row r="12">
      <c r="A12" t="inlineStr">
        <is>
          <t>Claims</t>
        </is>
      </c>
      <c r="B12" t="inlineStr">
        <is>
          <t>CLAIM</t>
        </is>
      </c>
      <c r="C12" t="inlineStr">
        <is>
          <t>Fraud Score</t>
        </is>
      </c>
      <c r="D12" t="inlineStr">
        <is>
          <t>FRAUD_SCORE</t>
        </is>
      </c>
      <c r="E12" s="56" t="inlineStr">
        <is>
          <t>N</t>
        </is>
      </c>
      <c r="F12" s="56" t="inlineStr">
        <is>
          <t>Y</t>
        </is>
      </c>
      <c r="G12" s="56" t="inlineStr">
        <is>
          <t>Y</t>
        </is>
      </c>
      <c r="H12" s="56" t="inlineStr">
        <is>
          <t>Y</t>
        </is>
      </c>
      <c r="I12" t="inlineStr"/>
      <c r="J12" t="inlineStr"/>
      <c r="K12" t="inlineStr"/>
      <c r="L12" t="inlineStr">
        <is>
          <t>4f5436b1-84a6-43d8-b7bf-89490196eada</t>
        </is>
      </c>
      <c r="M12" t="inlineStr">
        <is>
          <t>c993a37a-1659-4628-aef3-7bc6eada45c5</t>
        </is>
      </c>
      <c r="N12" t="inlineStr">
        <is>
          <t>0452cc48-73bd-4350-a4c8-54cba1a9437a</t>
        </is>
      </c>
      <c r="O12" t="inlineStr">
        <is>
          <t>Fraud Score</t>
        </is>
      </c>
      <c r="P12" t="inlineStr">
        <is>
          <t>Published</t>
        </is>
      </c>
      <c r="Q12" t="inlineStr">
        <is>
          <t>fe22eb5f-e472-45c3-8b85-d71c73ea8adc</t>
        </is>
      </c>
      <c r="R12" t="inlineStr">
        <is>
          <t>Srinivasa Dasari</t>
        </is>
      </c>
      <c r="S12" t="inlineStr">
        <is>
          <t>Numeric fraud-risk indicator, expected on a 0 to 100 scale, held on both CLAIM and CLAIM_ASSESSMENT. Critical because it feeds fraud-review decisions; the two values should be governed consistently.</t>
        </is>
      </c>
      <c r="T12" t="inlineStr"/>
      <c r="U12" t="inlineStr"/>
      <c r="V12" t="inlineStr"/>
      <c r="W12" t="inlineStr"/>
      <c r="X12" t="inlineStr"/>
    </row>
    <row r="13">
      <c r="A13" t="inlineStr">
        <is>
          <t>Claims</t>
        </is>
      </c>
      <c r="B13" t="inlineStr">
        <is>
          <t>CLAIM</t>
        </is>
      </c>
      <c r="C13" t="inlineStr">
        <is>
          <t>Claim Last Updated Timestamp</t>
        </is>
      </c>
      <c r="D13" t="inlineStr">
        <is>
          <t>UPDATED_TS</t>
        </is>
      </c>
      <c r="E13" s="56" t="inlineStr">
        <is>
          <t>Y</t>
        </is>
      </c>
      <c r="F13" s="56" t="inlineStr">
        <is>
          <t>Y</t>
        </is>
      </c>
      <c r="G13" s="56" t="inlineStr">
        <is>
          <t>Y</t>
        </is>
      </c>
      <c r="H13" s="56" t="inlineStr">
        <is>
          <t>Y</t>
        </is>
      </c>
      <c r="I13" t="inlineStr">
        <is>
          <t>CLAIM refreshed daily</t>
        </is>
      </c>
      <c r="J13" t="inlineStr">
        <is>
          <t>Timeliness</t>
        </is>
      </c>
      <c r="K13" t="inlineStr">
        <is>
          <t>100.0%</t>
        </is>
      </c>
      <c r="L13" t="inlineStr">
        <is>
          <t>4f5436b1-84a6-43d8-b7bf-89490196eada</t>
        </is>
      </c>
      <c r="M13" t="inlineStr">
        <is>
          <t>91458b78-efe1-43ee-b7c3-5dfeb93be53b</t>
        </is>
      </c>
      <c r="N13" t="inlineStr">
        <is>
          <t>4677cc1f-8696-418c-8ccd-f7674a4bbb55</t>
        </is>
      </c>
      <c r="O13" t="inlineStr">
        <is>
          <t>Claim Last Updated Timestamp</t>
        </is>
      </c>
      <c r="P13" t="inlineStr">
        <is>
          <t>Published</t>
        </is>
      </c>
      <c r="Q13" t="inlineStr">
        <is>
          <t>fe22eb5f-e472-45c3-8b85-d71c73ea8adc</t>
        </is>
      </c>
      <c r="R13" t="inlineStr">
        <is>
          <t>Srinivasa Dasari</t>
        </is>
      </c>
      <c r="S13" t="inlineStr">
        <is>
          <t>The date and time when the claim record was last updated in the source system.</t>
        </is>
      </c>
      <c r="T13" t="inlineStr"/>
      <c r="U13" t="inlineStr"/>
      <c r="V13" t="inlineStr"/>
      <c r="W13" t="n">
        <v>100</v>
      </c>
      <c r="X13" t="inlineStr"/>
    </row>
    <row r="14">
      <c r="A14" t="inlineStr">
        <is>
          <t>Claims</t>
        </is>
      </c>
      <c r="B14" t="inlineStr">
        <is>
          <t>CLAIM_ASSESSMENT</t>
        </is>
      </c>
      <c r="C14" t="inlineStr">
        <is>
          <t>Claim ID</t>
        </is>
      </c>
      <c r="D14" t="inlineStr">
        <is>
          <t>CLAIM_ID</t>
        </is>
      </c>
      <c r="E14" s="56" t="inlineStr">
        <is>
          <t>Y</t>
        </is>
      </c>
      <c r="F14" s="56" t="inlineStr">
        <is>
          <t>Y</t>
        </is>
      </c>
      <c r="G14" s="56" t="inlineStr">
        <is>
          <t>Y</t>
        </is>
      </c>
      <c r="H14" s="56" t="inlineStr">
        <is>
          <t>Y</t>
        </is>
      </c>
      <c r="I14" t="inlineStr">
        <is>
          <t>CLAIM_ID exists in CLAIM</t>
        </is>
      </c>
      <c r="J14" t="inlineStr">
        <is>
          <t>Unspecified</t>
        </is>
      </c>
      <c r="K14" t="inlineStr">
        <is>
          <t>99.0%</t>
        </is>
      </c>
      <c r="L14" t="inlineStr">
        <is>
          <t>4f5436b1-84a6-43d8-b7bf-89490196eada</t>
        </is>
      </c>
      <c r="M14" t="inlineStr">
        <is>
          <t>c8c62950-acb2-492b-8b69-7d208c15890d</t>
        </is>
      </c>
      <c r="N14" t="inlineStr">
        <is>
          <t>e5cdc124-e6da-4aa9-8515-37e6ee0ca91b</t>
        </is>
      </c>
      <c r="O14" t="inlineStr">
        <is>
          <t>Claim ID</t>
        </is>
      </c>
      <c r="P14" t="inlineStr">
        <is>
          <t>Published</t>
        </is>
      </c>
      <c r="Q14" t="inlineStr">
        <is>
          <t>fe22eb5f-e472-45c3-8b85-d71c73ea8adc</t>
        </is>
      </c>
      <c r="R14" t="inlineStr">
        <is>
          <t>Srinivasa Dasari</t>
        </is>
      </c>
      <c r="S14" t="inlineStr">
        <is>
          <t>Unique system-generated identifier of a claim. It is the primary key of CLAIM and the foreign key in CLAIM_ASSESSMENT, CLAIM_RESERVE and CLAIM_SETTLEMENT. Critical because it is the join key for the whole model, and orphaned values break the link between a claim and its assessments, reserves and settlements.</t>
        </is>
      </c>
      <c r="T14" t="inlineStr"/>
      <c r="U14" t="inlineStr"/>
      <c r="V14" t="inlineStr"/>
      <c r="W14" t="inlineStr"/>
      <c r="X14" t="inlineStr"/>
    </row>
    <row r="15">
      <c r="A15" t="inlineStr">
        <is>
          <t>Claims</t>
        </is>
      </c>
      <c r="B15" t="inlineStr">
        <is>
          <t>CLAIM_ASSESSMENT</t>
        </is>
      </c>
      <c r="C15" t="inlineStr">
        <is>
          <t>Assessment ID</t>
        </is>
      </c>
      <c r="D15" t="inlineStr">
        <is>
          <t>ASSESSMENT_ID</t>
        </is>
      </c>
      <c r="E15" s="56" t="inlineStr">
        <is>
          <t>Y</t>
        </is>
      </c>
      <c r="F15" s="56" t="inlineStr">
        <is>
          <t>Y</t>
        </is>
      </c>
      <c r="G15" s="56" t="inlineStr">
        <is>
          <t>Y</t>
        </is>
      </c>
      <c r="H15" s="56" t="inlineStr">
        <is>
          <t>Y</t>
        </is>
      </c>
      <c r="I15" t="inlineStr">
        <is>
          <t>ASSESSMENT_ID unique</t>
        </is>
      </c>
      <c r="J15" t="inlineStr">
        <is>
          <t>Uniqueness</t>
        </is>
      </c>
      <c r="K15" t="inlineStr">
        <is>
          <t>100.0%</t>
        </is>
      </c>
      <c r="L15" t="inlineStr">
        <is>
          <t>4f5436b1-84a6-43d8-b7bf-89490196eada</t>
        </is>
      </c>
      <c r="M15" t="inlineStr">
        <is>
          <t>5159e534-918a-4899-a1bb-751c73ae3f45</t>
        </is>
      </c>
      <c r="N15" t="inlineStr">
        <is>
          <t>17fcbe78-15ff-4c44-856a-e3d851281b44</t>
        </is>
      </c>
      <c r="O15" t="inlineStr">
        <is>
          <t>Assessment ID</t>
        </is>
      </c>
      <c r="P15" t="inlineStr">
        <is>
          <t>Published</t>
        </is>
      </c>
      <c r="Q15" t="inlineStr">
        <is>
          <t>fe22eb5f-e472-45c3-8b85-d71c73ea8adc</t>
        </is>
      </c>
      <c r="R15" t="inlineStr">
        <is>
          <t>Srinivasa Dasari</t>
        </is>
      </c>
      <c r="S15" t="inlineStr">
        <is>
          <t>Unique system-generated identifier of an assessment. It is the primary key of CLAIM_ASSESSMENT and the optional foreign key in CLAIM_RESERVE. Critical because orphaned values break the link between a reserve and the assessment that justified it.</t>
        </is>
      </c>
      <c r="T15" t="inlineStr"/>
      <c r="U15" t="inlineStr"/>
      <c r="V15" t="inlineStr"/>
      <c r="W15" t="inlineStr"/>
      <c r="X15" t="n">
        <v>100</v>
      </c>
    </row>
    <row r="16">
      <c r="A16" t="inlineStr">
        <is>
          <t>Claims</t>
        </is>
      </c>
      <c r="B16" t="inlineStr">
        <is>
          <t>CLAIM_ASSESSMENT</t>
        </is>
      </c>
      <c r="C16" t="inlineStr">
        <is>
          <t>Estimated Loss Amount</t>
        </is>
      </c>
      <c r="D16" t="inlineStr">
        <is>
          <t>ESTIMATED_LOSS_AMOUNT</t>
        </is>
      </c>
      <c r="E16" s="56" t="inlineStr">
        <is>
          <t>Y</t>
        </is>
      </c>
      <c r="F16" s="56" t="inlineStr">
        <is>
          <t>Y</t>
        </is>
      </c>
      <c r="G16" s="56" t="inlineStr">
        <is>
          <t>Y</t>
        </is>
      </c>
      <c r="H16" s="56" t="inlineStr">
        <is>
          <t>Y</t>
        </is>
      </c>
      <c r="I16" t="inlineStr">
        <is>
          <t>ESTIMATED_LOSS_AMOUNT not blank</t>
        </is>
      </c>
      <c r="J16" t="inlineStr">
        <is>
          <t>Unspecified</t>
        </is>
      </c>
      <c r="K16" t="inlineStr">
        <is>
          <t>99.0%</t>
        </is>
      </c>
      <c r="L16" t="inlineStr">
        <is>
          <t>4f5436b1-84a6-43d8-b7bf-89490196eada</t>
        </is>
      </c>
      <c r="M16" t="inlineStr">
        <is>
          <t>a8ac98d5-50f3-47d8-ad73-4f1e564d89a9</t>
        </is>
      </c>
      <c r="N16" t="inlineStr">
        <is>
          <t>e2c9160d-5e9a-46f4-a8a0-bd7cf37a817a</t>
        </is>
      </c>
      <c r="O16" t="inlineStr">
        <is>
          <t>Estimated Loss Amount</t>
        </is>
      </c>
      <c r="P16" t="inlineStr">
        <is>
          <t>Published</t>
        </is>
      </c>
      <c r="Q16" t="inlineStr">
        <is>
          <t>fe22eb5f-e472-45c3-8b85-d71c73ea8adc</t>
        </is>
      </c>
      <c r="R16" t="inlineStr">
        <is>
          <t>Srinivasa Dasari</t>
        </is>
      </c>
      <c r="S16" t="inlineStr">
        <is>
          <t>The insurer's estimate of the total loss, recorded at claim level (CLAIM) and assessment level (CLAIM_ASSESSMENT). Core financial exposure figure; the two values should be governed consistently.</t>
        </is>
      </c>
      <c r="T16" t="inlineStr"/>
      <c r="U16" t="inlineStr"/>
      <c r="V16" t="inlineStr"/>
      <c r="W16" t="inlineStr"/>
      <c r="X16" t="inlineStr"/>
    </row>
    <row r="17">
      <c r="A17" t="inlineStr">
        <is>
          <t>Claims</t>
        </is>
      </c>
      <c r="B17" t="inlineStr">
        <is>
          <t>CLAIM_ASSESSMENT</t>
        </is>
      </c>
      <c r="C17" t="inlineStr">
        <is>
          <t>Fraud Score</t>
        </is>
      </c>
      <c r="D17" t="inlineStr">
        <is>
          <t>FRAUD_SCORE</t>
        </is>
      </c>
      <c r="E17" s="56" t="inlineStr">
        <is>
          <t>Y</t>
        </is>
      </c>
      <c r="F17" s="56" t="inlineStr">
        <is>
          <t>Y</t>
        </is>
      </c>
      <c r="G17" s="56" t="inlineStr">
        <is>
          <t>Y</t>
        </is>
      </c>
      <c r="H17" s="56" t="inlineStr">
        <is>
          <t>Y</t>
        </is>
      </c>
      <c r="I17" t="inlineStr">
        <is>
          <t>FRAUD_SCORE not blank</t>
        </is>
      </c>
      <c r="J17" t="inlineStr">
        <is>
          <t>Unspecified</t>
        </is>
      </c>
      <c r="K17" t="inlineStr">
        <is>
          <t>98.6%</t>
        </is>
      </c>
      <c r="L17" t="inlineStr">
        <is>
          <t>4f5436b1-84a6-43d8-b7bf-89490196eada</t>
        </is>
      </c>
      <c r="M17" t="inlineStr">
        <is>
          <t>c993a37a-1659-4628-aef3-7bc6eada45c5</t>
        </is>
      </c>
      <c r="N17" t="inlineStr">
        <is>
          <t>0452cc48-73bd-4350-a4c8-54cba1a9437a</t>
        </is>
      </c>
      <c r="O17" t="inlineStr">
        <is>
          <t>Fraud Score</t>
        </is>
      </c>
      <c r="P17" t="inlineStr">
        <is>
          <t>Published</t>
        </is>
      </c>
      <c r="Q17" t="inlineStr">
        <is>
          <t>fe22eb5f-e472-45c3-8b85-d71c73ea8adc</t>
        </is>
      </c>
      <c r="R17" t="inlineStr">
        <is>
          <t>Srinivasa Dasari</t>
        </is>
      </c>
      <c r="S17" t="inlineStr">
        <is>
          <t>Numeric fraud-risk indicator, expected on a 0 to 100 scale, held on both CLAIM and CLAIM_ASSESSMENT. Critical because it feeds fraud-review decisions; the two values should be governed consistently.</t>
        </is>
      </c>
      <c r="T17" t="inlineStr"/>
      <c r="U17" t="inlineStr"/>
      <c r="V17" t="inlineStr"/>
      <c r="W17" t="inlineStr"/>
      <c r="X17" t="inlineStr"/>
    </row>
    <row r="18">
      <c r="A18" t="inlineStr">
        <is>
          <t>Claims</t>
        </is>
      </c>
      <c r="B18" t="inlineStr">
        <is>
          <t>CLAIM_ASSESSMENT</t>
        </is>
      </c>
      <c r="C18" t="inlineStr">
        <is>
          <t>Liability Percentage</t>
        </is>
      </c>
      <c r="D18" t="inlineStr">
        <is>
          <t>LIABILITY_PCT</t>
        </is>
      </c>
      <c r="E18" s="56" t="inlineStr">
        <is>
          <t>Y</t>
        </is>
      </c>
      <c r="F18" s="56" t="inlineStr">
        <is>
          <t>Y</t>
        </is>
      </c>
      <c r="G18" s="56" t="inlineStr">
        <is>
          <t>Y</t>
        </is>
      </c>
      <c r="H18" s="56" t="inlineStr">
        <is>
          <t>Y</t>
        </is>
      </c>
      <c r="I18" t="inlineStr">
        <is>
          <t>LIABILITY_PCT not blank</t>
        </is>
      </c>
      <c r="J18" t="inlineStr">
        <is>
          <t>Completeness</t>
        </is>
      </c>
      <c r="K18" t="inlineStr">
        <is>
          <t>98.7%</t>
        </is>
      </c>
      <c r="L18" t="inlineStr">
        <is>
          <t>4f5436b1-84a6-43d8-b7bf-89490196eada</t>
        </is>
      </c>
      <c r="M18" t="inlineStr">
        <is>
          <t>8069cbc5-d9f2-4dbd-a6c6-053830ce669d</t>
        </is>
      </c>
      <c r="N18" t="inlineStr">
        <is>
          <t>7414a31f-e17e-40a5-a234-a0cf003ffc2f</t>
        </is>
      </c>
      <c r="O18" t="inlineStr">
        <is>
          <t>Liability Percentage</t>
        </is>
      </c>
      <c r="P18" t="inlineStr">
        <is>
          <t>Published</t>
        </is>
      </c>
      <c r="Q18" t="inlineStr">
        <is>
          <t>fe22eb5f-e472-45c3-8b85-d71c73ea8adc</t>
        </is>
      </c>
      <c r="R18" t="inlineStr">
        <is>
          <t>Srinivasa Dasari</t>
        </is>
      </c>
      <c r="S18" t="inlineStr">
        <is>
          <t>Share of the loss for which the insurer is liable, from 0 to 100. Main input to how much is paid.</t>
        </is>
      </c>
      <c r="T18" t="inlineStr"/>
      <c r="U18" t="n">
        <v>98.7</v>
      </c>
      <c r="V18" t="inlineStr"/>
      <c r="W18" t="inlineStr"/>
      <c r="X18" t="inlineStr"/>
    </row>
    <row r="19">
      <c r="A19" t="inlineStr">
        <is>
          <t>Claims</t>
        </is>
      </c>
      <c r="B19" t="inlineStr">
        <is>
          <t>CLAIM_ASSESSMENT</t>
        </is>
      </c>
      <c r="C19" t="inlineStr">
        <is>
          <t>Damage Estimate</t>
        </is>
      </c>
      <c r="D19" t="inlineStr">
        <is>
          <t>DAMAGE_ESTIMATE</t>
        </is>
      </c>
      <c r="E19" s="56" t="inlineStr">
        <is>
          <t>Y</t>
        </is>
      </c>
      <c r="F19" s="56" t="inlineStr">
        <is>
          <t>Y</t>
        </is>
      </c>
      <c r="G19" s="56" t="inlineStr">
        <is>
          <t>Y</t>
        </is>
      </c>
      <c r="H19" s="56" t="inlineStr">
        <is>
          <t>Y</t>
        </is>
      </c>
      <c r="I19" t="inlineStr">
        <is>
          <t>Damage Estimate is filled</t>
        </is>
      </c>
      <c r="J19" t="inlineStr">
        <is>
          <t>Completeness</t>
        </is>
      </c>
      <c r="K19" t="inlineStr">
        <is>
          <t>98.6%</t>
        </is>
      </c>
      <c r="L19" t="inlineStr">
        <is>
          <t>4f5436b1-84a6-43d8-b7bf-89490196eada</t>
        </is>
      </c>
      <c r="M19" t="inlineStr">
        <is>
          <t>57384502-9d3b-49e7-9299-0edbc1ace13a</t>
        </is>
      </c>
      <c r="N19" t="inlineStr">
        <is>
          <t>082a60d5-9ec8-438b-9ea3-128d28176445</t>
        </is>
      </c>
      <c r="O19" t="inlineStr">
        <is>
          <t>Damage Estimate</t>
        </is>
      </c>
      <c r="P19" t="inlineStr">
        <is>
          <t>Published</t>
        </is>
      </c>
      <c r="Q19" t="inlineStr">
        <is>
          <t>fe22eb5f-e472-45c3-8b85-d71c73ea8adc</t>
        </is>
      </c>
      <c r="R19" t="inlineStr">
        <is>
          <t>Srinivasa Dasari</t>
        </is>
      </c>
      <c r="S19" t="inlineStr">
        <is>
          <t>Assessor's estimate of the damage or loss found. Main input to reserving and settlement amounts.</t>
        </is>
      </c>
      <c r="T19" t="inlineStr"/>
      <c r="U19" t="n">
        <v>98.59999999999999</v>
      </c>
      <c r="V19" t="inlineStr"/>
      <c r="W19" t="inlineStr"/>
      <c r="X19" t="inlineStr"/>
    </row>
    <row r="20">
      <c r="A20" t="inlineStr">
        <is>
          <t>Claims</t>
        </is>
      </c>
      <c r="B20" t="inlineStr">
        <is>
          <t>CLAIM_ASSESSMENT</t>
        </is>
      </c>
      <c r="C20" t="inlineStr">
        <is>
          <t>Assessment Status</t>
        </is>
      </c>
      <c r="D20" t="inlineStr">
        <is>
          <t>ASSESSMENT_STATUS</t>
        </is>
      </c>
      <c r="E20" s="56" t="inlineStr">
        <is>
          <t>Y</t>
        </is>
      </c>
      <c r="F20" s="56" t="inlineStr">
        <is>
          <t>Y</t>
        </is>
      </c>
      <c r="G20" s="56" t="inlineStr">
        <is>
          <t>Y</t>
        </is>
      </c>
      <c r="H20" s="56" t="inlineStr">
        <is>
          <t>Y</t>
        </is>
      </c>
      <c r="I20" t="inlineStr">
        <is>
          <t>Assessment Status has a valid value</t>
        </is>
      </c>
      <c r="J20" t="inlineStr">
        <is>
          <t>Conformity</t>
        </is>
      </c>
      <c r="K20" t="inlineStr">
        <is>
          <t>98.7%</t>
        </is>
      </c>
      <c r="L20" t="inlineStr">
        <is>
          <t>4f5436b1-84a6-43d8-b7bf-89490196eada</t>
        </is>
      </c>
      <c r="M20" t="inlineStr">
        <is>
          <t>3265af8d-bcaa-4769-8a02-148830b51449</t>
        </is>
      </c>
      <c r="N20" t="inlineStr">
        <is>
          <t>235d1079-5000-4047-8ae6-93bd4469ad44</t>
        </is>
      </c>
      <c r="O20" t="inlineStr">
        <is>
          <t>Assessment Status</t>
        </is>
      </c>
      <c r="P20" t="inlineStr">
        <is>
          <t>Published</t>
        </is>
      </c>
      <c r="Q20" t="inlineStr">
        <is>
          <t>fe22eb5f-e472-45c3-8b85-d71c73ea8adc</t>
        </is>
      </c>
      <c r="R20" t="inlineStr">
        <is>
          <t>Srinivasa Dasari</t>
        </is>
      </c>
      <c r="S20" t="inlineStr">
        <is>
          <t>Progress of the assessment. Acts as a control gate before reserving and settlement and must agree with the completed flag.</t>
        </is>
      </c>
      <c r="T20" t="inlineStr"/>
      <c r="U20" t="inlineStr"/>
      <c r="V20" t="n">
        <v>98.7</v>
      </c>
      <c r="W20" t="inlineStr"/>
      <c r="X20" t="inlineStr"/>
    </row>
    <row r="21">
      <c r="A21" t="inlineStr">
        <is>
          <t>Claims</t>
        </is>
      </c>
      <c r="B21" t="inlineStr">
        <is>
          <t>CLAIM_ASSESSMENT</t>
        </is>
      </c>
      <c r="C21" t="inlineStr">
        <is>
          <t>Assessment Completed Flag</t>
        </is>
      </c>
      <c r="D21" t="inlineStr">
        <is>
          <t>ASSESSMENT_COMPLETED_FLAG</t>
        </is>
      </c>
      <c r="E21" s="56" t="inlineStr">
        <is>
          <t>Y</t>
        </is>
      </c>
      <c r="F21" s="56" t="inlineStr">
        <is>
          <t>Y</t>
        </is>
      </c>
      <c r="G21" s="56" t="inlineStr">
        <is>
          <t>Y</t>
        </is>
      </c>
      <c r="H21" s="56" t="inlineStr">
        <is>
          <t>Y</t>
        </is>
      </c>
      <c r="I21" t="inlineStr">
        <is>
          <t>ASSESSMENT_COMPLETED_FLAG allowed values</t>
        </is>
      </c>
      <c r="J21" t="inlineStr">
        <is>
          <t>Conformity</t>
        </is>
      </c>
      <c r="K21" t="inlineStr">
        <is>
          <t>99.1%</t>
        </is>
      </c>
      <c r="L21" t="inlineStr">
        <is>
          <t>4f5436b1-84a6-43d8-b7bf-89490196eada</t>
        </is>
      </c>
      <c r="M21" t="inlineStr">
        <is>
          <t>76e1ff03-ed2d-4206-8344-2aa430ad93ed</t>
        </is>
      </c>
      <c r="N21" t="inlineStr">
        <is>
          <t>4c8b2d3d-a2d7-4e48-8c8e-b4870cee435b</t>
        </is>
      </c>
      <c r="O21" t="inlineStr">
        <is>
          <t>Assessment Completed Flag</t>
        </is>
      </c>
      <c r="P21" t="inlineStr">
        <is>
          <t>Published</t>
        </is>
      </c>
      <c r="Q21" t="inlineStr">
        <is>
          <t>fe22eb5f-e472-45c3-8b85-d71c73ea8adc</t>
        </is>
      </c>
      <c r="R21" t="inlineStr">
        <is>
          <t>Srinivasa Dasari</t>
        </is>
      </c>
      <c r="S21" t="inlineStr">
        <is>
          <t>Y/N indicator that the assessment is finished (stored as a single character). Control gate that must agree with the assessment status.</t>
        </is>
      </c>
      <c r="T21" t="inlineStr"/>
      <c r="U21" t="inlineStr"/>
      <c r="V21" t="n">
        <v>99.09999999999999</v>
      </c>
      <c r="W21" t="inlineStr"/>
      <c r="X21" t="inlineStr"/>
    </row>
    <row r="22">
      <c r="A22" t="inlineStr">
        <is>
          <t>Claims</t>
        </is>
      </c>
      <c r="B22" t="inlineStr">
        <is>
          <t>CLAIM_RESERVE</t>
        </is>
      </c>
      <c r="C22" t="inlineStr">
        <is>
          <t>Claim ID</t>
        </is>
      </c>
      <c r="D22" t="inlineStr">
        <is>
          <t>CLAIM_ID</t>
        </is>
      </c>
      <c r="E22" s="56" t="inlineStr">
        <is>
          <t>N</t>
        </is>
      </c>
      <c r="F22" s="56" t="inlineStr">
        <is>
          <t>Y</t>
        </is>
      </c>
      <c r="G22" s="56" t="inlineStr">
        <is>
          <t>Y</t>
        </is>
      </c>
      <c r="H22" s="56" t="inlineStr">
        <is>
          <t>Y</t>
        </is>
      </c>
      <c r="I22" t="inlineStr"/>
      <c r="J22" t="inlineStr"/>
      <c r="K22" t="inlineStr"/>
      <c r="L22" t="inlineStr">
        <is>
          <t>4f5436b1-84a6-43d8-b7bf-89490196eada</t>
        </is>
      </c>
      <c r="M22" t="inlineStr">
        <is>
          <t>c8c62950-acb2-492b-8b69-7d208c15890d</t>
        </is>
      </c>
      <c r="N22" t="inlineStr">
        <is>
          <t>e5cdc124-e6da-4aa9-8515-37e6ee0ca91b</t>
        </is>
      </c>
      <c r="O22" t="inlineStr">
        <is>
          <t>Claim ID</t>
        </is>
      </c>
      <c r="P22" t="inlineStr">
        <is>
          <t>Published</t>
        </is>
      </c>
      <c r="Q22" t="inlineStr">
        <is>
          <t>fe22eb5f-e472-45c3-8b85-d71c73ea8adc</t>
        </is>
      </c>
      <c r="R22" t="inlineStr">
        <is>
          <t>Srinivasa Dasari</t>
        </is>
      </c>
      <c r="S22" t="inlineStr">
        <is>
          <t>Unique system-generated identifier of a claim. It is the primary key of CLAIM and the foreign key in CLAIM_ASSESSMENT, CLAIM_RESERVE and CLAIM_SETTLEMENT. Critical because it is the join key for the whole model, and orphaned values break the link between a claim and its assessments, reserves and settlements.</t>
        </is>
      </c>
      <c r="T22" t="inlineStr"/>
      <c r="U22" t="inlineStr"/>
      <c r="V22" t="inlineStr"/>
      <c r="W22" t="inlineStr"/>
      <c r="X22" t="inlineStr"/>
    </row>
    <row r="23">
      <c r="A23" t="inlineStr">
        <is>
          <t>Claims</t>
        </is>
      </c>
      <c r="B23" t="inlineStr">
        <is>
          <t>CLAIM_RESERVE</t>
        </is>
      </c>
      <c r="C23" t="inlineStr">
        <is>
          <t>Assessment ID</t>
        </is>
      </c>
      <c r="D23" t="inlineStr">
        <is>
          <t>ASSESSMENT_ID</t>
        </is>
      </c>
      <c r="E23" s="56" t="inlineStr">
        <is>
          <t>N</t>
        </is>
      </c>
      <c r="F23" s="56" t="inlineStr">
        <is>
          <t>Y</t>
        </is>
      </c>
      <c r="G23" s="56" t="inlineStr">
        <is>
          <t>Y</t>
        </is>
      </c>
      <c r="H23" s="56" t="inlineStr">
        <is>
          <t>Y</t>
        </is>
      </c>
      <c r="I23" t="inlineStr"/>
      <c r="J23" t="inlineStr"/>
      <c r="K23" t="inlineStr"/>
      <c r="L23" t="inlineStr">
        <is>
          <t>4f5436b1-84a6-43d8-b7bf-89490196eada</t>
        </is>
      </c>
      <c r="M23" t="inlineStr">
        <is>
          <t>5159e534-918a-4899-a1bb-751c73ae3f45</t>
        </is>
      </c>
      <c r="N23" t="inlineStr">
        <is>
          <t>17fcbe78-15ff-4c44-856a-e3d851281b44</t>
        </is>
      </c>
      <c r="O23" t="inlineStr">
        <is>
          <t>Assessment ID</t>
        </is>
      </c>
      <c r="P23" t="inlineStr">
        <is>
          <t>Published</t>
        </is>
      </c>
      <c r="Q23" t="inlineStr">
        <is>
          <t>fe22eb5f-e472-45c3-8b85-d71c73ea8adc</t>
        </is>
      </c>
      <c r="R23" t="inlineStr">
        <is>
          <t>Srinivasa Dasari</t>
        </is>
      </c>
      <c r="S23" t="inlineStr">
        <is>
          <t>Unique system-generated identifier of an assessment. It is the primary key of CLAIM_ASSESSMENT and the optional foreign key in CLAIM_RESERVE. Critical because orphaned values break the link between a reserve and the assessment that justified it.</t>
        </is>
      </c>
      <c r="T23" t="inlineStr"/>
      <c r="U23" t="inlineStr"/>
      <c r="V23" t="inlineStr"/>
      <c r="W23" t="inlineStr"/>
      <c r="X23" t="inlineStr"/>
    </row>
    <row r="24">
      <c r="A24" t="inlineStr">
        <is>
          <t>Claims</t>
        </is>
      </c>
      <c r="B24" t="inlineStr">
        <is>
          <t>CLAIM_RESERVE</t>
        </is>
      </c>
      <c r="C24" t="inlineStr">
        <is>
          <t>Reserve ID</t>
        </is>
      </c>
      <c r="D24" t="inlineStr">
        <is>
          <t>RESERVE_ID</t>
        </is>
      </c>
      <c r="E24" s="56" t="inlineStr">
        <is>
          <t>Y</t>
        </is>
      </c>
      <c r="F24" s="56" t="inlineStr">
        <is>
          <t>Y</t>
        </is>
      </c>
      <c r="G24" s="56" t="inlineStr">
        <is>
          <t>Y</t>
        </is>
      </c>
      <c r="H24" s="56" t="inlineStr">
        <is>
          <t>Y</t>
        </is>
      </c>
      <c r="I24" t="inlineStr">
        <is>
          <t>Reserve ID is unique</t>
        </is>
      </c>
      <c r="J24" t="inlineStr">
        <is>
          <t>Uniqueness</t>
        </is>
      </c>
      <c r="K24" t="inlineStr">
        <is>
          <t>100.0%</t>
        </is>
      </c>
      <c r="L24" t="inlineStr">
        <is>
          <t>4f5436b1-84a6-43d8-b7bf-89490196eada</t>
        </is>
      </c>
      <c r="M24" t="inlineStr">
        <is>
          <t>791c448e-f23e-4a24-9404-6e65c400c3db</t>
        </is>
      </c>
      <c r="N24" t="inlineStr">
        <is>
          <t>2e7776bf-9d7d-4229-963d-6ce4e4a3785e</t>
        </is>
      </c>
      <c r="O24" t="inlineStr">
        <is>
          <t>Reserve ID</t>
        </is>
      </c>
      <c r="P24" t="inlineStr">
        <is>
          <t>Published</t>
        </is>
      </c>
      <c r="Q24" t="inlineStr">
        <is>
          <t>fe22eb5f-e472-45c3-8b85-d71c73ea8adc</t>
        </is>
      </c>
      <c r="R24" t="inlineStr">
        <is>
          <t>Srinivasa Dasari</t>
        </is>
      </c>
      <c r="S24" t="inlineStr">
        <is>
          <t>Unique system-generated identifier of a reserve entry. It is the primary key of CLAIM_RESERVE and the foreign key in CLAIM_SETTLEMENT. Critical because orphaned values leave a settlement with no funding reserve.</t>
        </is>
      </c>
      <c r="T24" t="inlineStr"/>
      <c r="U24" t="inlineStr"/>
      <c r="V24" t="inlineStr"/>
      <c r="W24" t="inlineStr"/>
      <c r="X24" t="n">
        <v>100</v>
      </c>
    </row>
    <row r="25">
      <c r="A25" t="inlineStr">
        <is>
          <t>Claims</t>
        </is>
      </c>
      <c r="B25" t="inlineStr">
        <is>
          <t>CLAIM_RESERVE</t>
        </is>
      </c>
      <c r="C25" t="inlineStr">
        <is>
          <t>Reserve Amount</t>
        </is>
      </c>
      <c r="D25" t="inlineStr">
        <is>
          <t>RESERVE_AMOUNT</t>
        </is>
      </c>
      <c r="E25" s="56" t="inlineStr">
        <is>
          <t>N</t>
        </is>
      </c>
      <c r="F25" s="56" t="inlineStr">
        <is>
          <t>Y</t>
        </is>
      </c>
      <c r="G25" s="56" t="inlineStr">
        <is>
          <t>Y</t>
        </is>
      </c>
      <c r="H25" s="56" t="inlineStr">
        <is>
          <t>Y</t>
        </is>
      </c>
      <c r="I25" t="inlineStr"/>
      <c r="J25" t="inlineStr"/>
      <c r="K25" t="inlineStr"/>
      <c r="L25" t="inlineStr">
        <is>
          <t>4f5436b1-84a6-43d8-b7bf-89490196eada</t>
        </is>
      </c>
      <c r="M25" t="inlineStr">
        <is>
          <t>649ce8a2-09e0-49db-951f-d7c600f70de4</t>
        </is>
      </c>
      <c r="N25" t="inlineStr">
        <is>
          <t>ad9c378b-450b-4f1c-ae2b-5c7ef9b9e47a</t>
        </is>
      </c>
      <c r="O25" t="inlineStr">
        <is>
          <t>Reserve Amount</t>
        </is>
      </c>
      <c r="P25" t="inlineStr">
        <is>
          <t>Published</t>
        </is>
      </c>
      <c r="Q25" t="inlineStr">
        <is>
          <t>fe22eb5f-e472-45c3-8b85-d71c73ea8adc</t>
        </is>
      </c>
      <c r="R25" t="inlineStr">
        <is>
          <t>Srinivasa Dasari</t>
        </is>
      </c>
      <c r="S25" t="inlineStr">
        <is>
          <t>Monetary value set aside for the claim. The most financially significant column; it feeds financial reporting.</t>
        </is>
      </c>
      <c r="T25" t="inlineStr"/>
      <c r="U25" t="inlineStr"/>
      <c r="V25" t="inlineStr"/>
      <c r="W25" t="inlineStr"/>
      <c r="X25" t="inlineStr"/>
    </row>
    <row r="26">
      <c r="A26" t="inlineStr">
        <is>
          <t>Claims</t>
        </is>
      </c>
      <c r="B26" t="inlineStr">
        <is>
          <t>CLAIM_RESERVE</t>
        </is>
      </c>
      <c r="C26" t="inlineStr">
        <is>
          <t>Currency Code</t>
        </is>
      </c>
      <c r="D26" t="inlineStr">
        <is>
          <t>CURRENCY_CODE</t>
        </is>
      </c>
      <c r="E26" s="56" t="inlineStr">
        <is>
          <t>Y</t>
        </is>
      </c>
      <c r="F26" s="56" t="inlineStr">
        <is>
          <t>Y</t>
        </is>
      </c>
      <c r="G26" s="56" t="inlineStr">
        <is>
          <t>Y</t>
        </is>
      </c>
      <c r="H26" s="56" t="inlineStr">
        <is>
          <t>Y</t>
        </is>
      </c>
      <c r="I26" t="inlineStr">
        <is>
          <t>Currency Code is filled</t>
        </is>
      </c>
      <c r="J26" t="inlineStr">
        <is>
          <t>Completeness</t>
        </is>
      </c>
      <c r="K26" t="inlineStr">
        <is>
          <t>100.0%</t>
        </is>
      </c>
      <c r="L26" t="inlineStr">
        <is>
          <t>4f5436b1-84a6-43d8-b7bf-89490196eada</t>
        </is>
      </c>
      <c r="M26" t="inlineStr">
        <is>
          <t>c662b10d-039b-4047-9a29-d9ad5fbc5cbd</t>
        </is>
      </c>
      <c r="N26" t="inlineStr">
        <is>
          <t>63c1ae8b-eeb3-403c-b456-eb86b88c8fb3</t>
        </is>
      </c>
      <c r="O26" t="inlineStr">
        <is>
          <t>Currency Code</t>
        </is>
      </c>
      <c r="P26" t="inlineStr">
        <is>
          <t>Published</t>
        </is>
      </c>
      <c r="Q26" t="inlineStr">
        <is>
          <t>fe22eb5f-e472-45c3-8b85-d71c73ea8adc</t>
        </is>
      </c>
      <c r="R26" t="inlineStr">
        <is>
          <t>Srinivasa Dasari</t>
        </is>
      </c>
      <c r="S26" t="inlineStr">
        <is>
          <t>ISO 4217 currency of the amount (default INR). Without it the reserve amount cannot be interpreted.</t>
        </is>
      </c>
      <c r="T26" t="inlineStr"/>
      <c r="U26" t="n">
        <v>100</v>
      </c>
      <c r="V26" t="inlineStr"/>
      <c r="W26" t="inlineStr"/>
      <c r="X26" t="inlineStr"/>
    </row>
    <row r="27">
      <c r="A27" t="inlineStr">
        <is>
          <t>Claims</t>
        </is>
      </c>
      <c r="B27" t="inlineStr">
        <is>
          <t>CLAIM_RESERVE</t>
        </is>
      </c>
      <c r="C27" t="inlineStr">
        <is>
          <t>Reserve Status</t>
        </is>
      </c>
      <c r="D27" t="inlineStr">
        <is>
          <t>RESERVE_STATUS</t>
        </is>
      </c>
      <c r="E27" s="56" t="inlineStr">
        <is>
          <t>N</t>
        </is>
      </c>
      <c r="F27" s="56" t="inlineStr">
        <is>
          <t>Y</t>
        </is>
      </c>
      <c r="G27" s="56" t="inlineStr">
        <is>
          <t>Y</t>
        </is>
      </c>
      <c r="H27" s="56" t="inlineStr">
        <is>
          <t>Y</t>
        </is>
      </c>
      <c r="I27" t="inlineStr"/>
      <c r="J27" t="inlineStr"/>
      <c r="K27" t="inlineStr"/>
      <c r="L27" t="inlineStr">
        <is>
          <t>4f5436b1-84a6-43d8-b7bf-89490196eada</t>
        </is>
      </c>
      <c r="M27" t="inlineStr">
        <is>
          <t>b446c222-57fa-47a4-b891-6a9b84961e69</t>
        </is>
      </c>
      <c r="N27" t="inlineStr">
        <is>
          <t>ebe8a497-6c38-450d-a44c-a214f19cefa2</t>
        </is>
      </c>
      <c r="O27" t="inlineStr">
        <is>
          <t>Reserve Status</t>
        </is>
      </c>
      <c r="P27" t="inlineStr">
        <is>
          <t>Published</t>
        </is>
      </c>
      <c r="Q27" t="inlineStr">
        <is>
          <t>fe22eb5f-e472-45c3-8b85-d71c73ea8adc</t>
        </is>
      </c>
      <c r="R27" t="inlineStr">
        <is>
          <t>Srinivasa Dasari</t>
        </is>
      </c>
      <c r="S27" t="inlineStr">
        <is>
          <t>State of the reserve (active, adjusted, released). Defines which reserve is in force; errors cause stale or overlapping reserves.</t>
        </is>
      </c>
      <c r="T27" t="inlineStr"/>
      <c r="U27" t="inlineStr"/>
      <c r="V27" t="inlineStr"/>
      <c r="W27" t="inlineStr"/>
      <c r="X27" t="inlineStr"/>
    </row>
    <row r="28">
      <c r="A28" t="inlineStr">
        <is>
          <t>Claims</t>
        </is>
      </c>
      <c r="B28" t="inlineStr">
        <is>
          <t>CLAIM_RESERVE</t>
        </is>
      </c>
      <c r="C28" t="inlineStr">
        <is>
          <t>Reserve Effective From</t>
        </is>
      </c>
      <c r="D28" t="inlineStr">
        <is>
          <t>EFFECTIVE_FROM</t>
        </is>
      </c>
      <c r="E28" s="56" t="inlineStr">
        <is>
          <t>N</t>
        </is>
      </c>
      <c r="F28" s="56" t="inlineStr">
        <is>
          <t>Y</t>
        </is>
      </c>
      <c r="G28" s="56" t="inlineStr">
        <is>
          <t>Y</t>
        </is>
      </c>
      <c r="H28" s="56" t="inlineStr">
        <is>
          <t>Y</t>
        </is>
      </c>
      <c r="I28" t="inlineStr"/>
      <c r="J28" t="inlineStr"/>
      <c r="K28" t="inlineStr"/>
      <c r="L28" t="inlineStr">
        <is>
          <t>4f5436b1-84a6-43d8-b7bf-89490196eada</t>
        </is>
      </c>
      <c r="M28" t="inlineStr">
        <is>
          <t>bb7282d1-cb99-4a24-a287-11e9d1e87696</t>
        </is>
      </c>
      <c r="N28" t="inlineStr">
        <is>
          <t>bd5b0e1b-92e0-41da-8ca2-eeb187dbf5f8</t>
        </is>
      </c>
      <c r="O28" t="inlineStr">
        <is>
          <t>Reserve Effective From</t>
        </is>
      </c>
      <c r="P28" t="inlineStr">
        <is>
          <t>Published</t>
        </is>
      </c>
      <c r="Q28" t="inlineStr">
        <is>
          <t>fe22eb5f-e472-45c3-8b85-d71c73ea8adc</t>
        </is>
      </c>
      <c r="R28" t="inlineStr">
        <is>
          <t>Srinivasa Dasari</t>
        </is>
      </c>
      <c r="S28" t="inlineStr">
        <is>
          <t>Start date of the reserve's effective period. Defines which reserve is in force.</t>
        </is>
      </c>
      <c r="T28" t="inlineStr"/>
      <c r="U28" t="inlineStr"/>
      <c r="V28" t="inlineStr"/>
      <c r="W28" t="inlineStr"/>
      <c r="X28" t="inlineStr"/>
    </row>
    <row r="29">
      <c r="A29" t="inlineStr">
        <is>
          <t>Claims</t>
        </is>
      </c>
      <c r="B29" t="inlineStr">
        <is>
          <t>CLAIM_RESERVE</t>
        </is>
      </c>
      <c r="C29" t="inlineStr">
        <is>
          <t>Reserve Effective To</t>
        </is>
      </c>
      <c r="D29" t="inlineStr">
        <is>
          <t>EFFECTIVE_TO</t>
        </is>
      </c>
      <c r="E29" s="56" t="inlineStr">
        <is>
          <t>N</t>
        </is>
      </c>
      <c r="F29" s="56" t="inlineStr">
        <is>
          <t>Y</t>
        </is>
      </c>
      <c r="G29" s="56" t="inlineStr">
        <is>
          <t>Y</t>
        </is>
      </c>
      <c r="H29" s="56" t="inlineStr">
        <is>
          <t>Y</t>
        </is>
      </c>
      <c r="I29" t="inlineStr"/>
      <c r="J29" t="inlineStr"/>
      <c r="K29" t="inlineStr"/>
      <c r="L29" t="inlineStr">
        <is>
          <t>4f5436b1-84a6-43d8-b7bf-89490196eada</t>
        </is>
      </c>
      <c r="M29" t="inlineStr">
        <is>
          <t>6201ee8c-16d5-4984-bcad-3c0eb554b6f9</t>
        </is>
      </c>
      <c r="N29" t="inlineStr">
        <is>
          <t>9ca06d49-cd6c-4cee-bfb1-b25564317567</t>
        </is>
      </c>
      <c r="O29" t="inlineStr">
        <is>
          <t>Reserve Effective To</t>
        </is>
      </c>
      <c r="P29" t="inlineStr">
        <is>
          <t>Published</t>
        </is>
      </c>
      <c r="Q29" t="inlineStr">
        <is>
          <t>fe22eb5f-e472-45c3-8b85-d71c73ea8adc</t>
        </is>
      </c>
      <c r="R29" t="inlineStr">
        <is>
          <t>Srinivasa Dasari</t>
        </is>
      </c>
      <c r="S29" t="inlineStr">
        <is>
          <t>End date of the reserve's effective period. Empty while the reserve is active; must not precede the start date.</t>
        </is>
      </c>
      <c r="T29" t="inlineStr"/>
      <c r="U29" t="inlineStr"/>
      <c r="V29" t="inlineStr"/>
      <c r="W29" t="inlineStr"/>
      <c r="X29" t="inlineStr"/>
    </row>
    <row r="30">
      <c r="A30" t="inlineStr">
        <is>
          <t>Claims</t>
        </is>
      </c>
      <c r="B30" t="inlineStr">
        <is>
          <t>CLAIM_SETTLEMENT</t>
        </is>
      </c>
      <c r="C30" t="inlineStr">
        <is>
          <t>Claim ID</t>
        </is>
      </c>
      <c r="D30" t="inlineStr">
        <is>
          <t>CLAIM_ID</t>
        </is>
      </c>
      <c r="E30" s="56" t="inlineStr">
        <is>
          <t>Y</t>
        </is>
      </c>
      <c r="F30" s="56" t="inlineStr">
        <is>
          <t>Y</t>
        </is>
      </c>
      <c r="G30" s="56" t="inlineStr">
        <is>
          <t>Y</t>
        </is>
      </c>
      <c r="H30" s="56" t="inlineStr">
        <is>
          <t>Y</t>
        </is>
      </c>
      <c r="I30" t="inlineStr">
        <is>
          <t>CLAIM_ID exists in CLAIM</t>
        </is>
      </c>
      <c r="J30" t="inlineStr">
        <is>
          <t>Unspecified</t>
        </is>
      </c>
      <c r="K30" t="inlineStr">
        <is>
          <t>99.1%</t>
        </is>
      </c>
      <c r="L30" t="inlineStr">
        <is>
          <t>4f5436b1-84a6-43d8-b7bf-89490196eada</t>
        </is>
      </c>
      <c r="M30" t="inlineStr">
        <is>
          <t>c8c62950-acb2-492b-8b69-7d208c15890d</t>
        </is>
      </c>
      <c r="N30" t="inlineStr">
        <is>
          <t>e5cdc124-e6da-4aa9-8515-37e6ee0ca91b</t>
        </is>
      </c>
      <c r="O30" t="inlineStr">
        <is>
          <t>Claim ID</t>
        </is>
      </c>
      <c r="P30" t="inlineStr">
        <is>
          <t>Published</t>
        </is>
      </c>
      <c r="Q30" t="inlineStr">
        <is>
          <t>fe22eb5f-e472-45c3-8b85-d71c73ea8adc</t>
        </is>
      </c>
      <c r="R30" t="inlineStr">
        <is>
          <t>Srinivasa Dasari</t>
        </is>
      </c>
      <c r="S30" t="inlineStr">
        <is>
          <t>Unique system-generated identifier of a claim. It is the primary key of CLAIM and the foreign key in CLAIM_ASSESSMENT, CLAIM_RESERVE and CLAIM_SETTLEMENT. Critical because it is the join key for the whole model, and orphaned values break the link between a claim and its assessments, reserves and settlements.</t>
        </is>
      </c>
      <c r="T30" t="inlineStr"/>
      <c r="U30" t="inlineStr"/>
      <c r="V30" t="inlineStr"/>
      <c r="W30" t="inlineStr"/>
      <c r="X30" t="inlineStr"/>
    </row>
    <row r="31">
      <c r="A31" t="inlineStr">
        <is>
          <t>Claims</t>
        </is>
      </c>
      <c r="B31" t="inlineStr">
        <is>
          <t>CLAIM_SETTLEMENT</t>
        </is>
      </c>
      <c r="C31" t="inlineStr">
        <is>
          <t>Reserve ID</t>
        </is>
      </c>
      <c r="D31" t="inlineStr">
        <is>
          <t>RESERVE_ID</t>
        </is>
      </c>
      <c r="E31" s="56" t="inlineStr">
        <is>
          <t>Y</t>
        </is>
      </c>
      <c r="F31" s="56" t="inlineStr">
        <is>
          <t>Y</t>
        </is>
      </c>
      <c r="G31" s="56" t="inlineStr">
        <is>
          <t>Y</t>
        </is>
      </c>
      <c r="H31" s="56" t="inlineStr">
        <is>
          <t>Y</t>
        </is>
      </c>
      <c r="I31" t="inlineStr">
        <is>
          <t>RESERVE_ID exists in CLAIM_RESERVE</t>
        </is>
      </c>
      <c r="J31" t="inlineStr">
        <is>
          <t>Unspecified</t>
        </is>
      </c>
      <c r="K31" t="inlineStr">
        <is>
          <t>99.1%</t>
        </is>
      </c>
      <c r="L31" t="inlineStr">
        <is>
          <t>4f5436b1-84a6-43d8-b7bf-89490196eada</t>
        </is>
      </c>
      <c r="M31" t="inlineStr">
        <is>
          <t>791c448e-f23e-4a24-9404-6e65c400c3db</t>
        </is>
      </c>
      <c r="N31" t="inlineStr">
        <is>
          <t>2e7776bf-9d7d-4229-963d-6ce4e4a3785e</t>
        </is>
      </c>
      <c r="O31" t="inlineStr">
        <is>
          <t>Reserve ID</t>
        </is>
      </c>
      <c r="P31" t="inlineStr">
        <is>
          <t>Published</t>
        </is>
      </c>
      <c r="Q31" t="inlineStr">
        <is>
          <t>fe22eb5f-e472-45c3-8b85-d71c73ea8adc</t>
        </is>
      </c>
      <c r="R31" t="inlineStr">
        <is>
          <t>Srinivasa Dasari</t>
        </is>
      </c>
      <c r="S31" t="inlineStr">
        <is>
          <t>Unique system-generated identifier of a reserve entry. It is the primary key of CLAIM_RESERVE and the foreign key in CLAIM_SETTLEMENT. Critical because orphaned values leave a settlement with no funding reserve.</t>
        </is>
      </c>
      <c r="T31" t="inlineStr"/>
      <c r="U31" t="inlineStr"/>
      <c r="V31" t="inlineStr"/>
      <c r="W31" t="inlineStr"/>
      <c r="X31" t="inlineStr"/>
    </row>
    <row r="32">
      <c r="A32" t="inlineStr">
        <is>
          <t>Claims</t>
        </is>
      </c>
      <c r="B32" t="inlineStr">
        <is>
          <t>CLAIM_SETTLEMENT</t>
        </is>
      </c>
      <c r="C32" t="inlineStr">
        <is>
          <t>Approved Settlement Amount</t>
        </is>
      </c>
      <c r="D32" t="inlineStr">
        <is>
          <t>APPROVED_SETTLEMENT_AMOUNT</t>
        </is>
      </c>
      <c r="E32" s="56" t="inlineStr">
        <is>
          <t>Y</t>
        </is>
      </c>
      <c r="F32" s="56" t="inlineStr">
        <is>
          <t>Y</t>
        </is>
      </c>
      <c r="G32" s="56" t="inlineStr">
        <is>
          <t>Y</t>
        </is>
      </c>
      <c r="H32" s="56" t="inlineStr">
        <is>
          <t>Y</t>
        </is>
      </c>
      <c r="I32" t="inlineStr">
        <is>
          <t>APPROVED_SETTLEMENT_AMOUNT greater than zero</t>
        </is>
      </c>
      <c r="J32" t="inlineStr">
        <is>
          <t>Accuracy</t>
        </is>
      </c>
      <c r="K32" t="inlineStr">
        <is>
          <t>98.7%</t>
        </is>
      </c>
      <c r="L32" t="inlineStr">
        <is>
          <t>4f5436b1-84a6-43d8-b7bf-89490196eada</t>
        </is>
      </c>
      <c r="M32" t="inlineStr">
        <is>
          <t>8bdbb683-b93d-4d79-8a15-52abb90f4d5e</t>
        </is>
      </c>
      <c r="N32" t="inlineStr">
        <is>
          <t>ad65d3da-bf5f-4d82-9c87-ec37fa409329</t>
        </is>
      </c>
      <c r="O32" t="inlineStr">
        <is>
          <t>Approved Settlement Amount</t>
        </is>
      </c>
      <c r="P32" t="inlineStr">
        <is>
          <t>Published</t>
        </is>
      </c>
      <c r="Q32" t="inlineStr">
        <is>
          <t>fe22eb5f-e472-45c3-8b85-d71c73ea8adc</t>
        </is>
      </c>
      <c r="R32" t="inlineStr">
        <is>
          <t>Srinivasa Dasari</t>
        </is>
      </c>
      <c r="S32" t="inlineStr">
        <is>
          <t>Amount approved for payment on a settlement. Money actually paid out.</t>
        </is>
      </c>
      <c r="T32" t="n">
        <v>98.7</v>
      </c>
      <c r="U32" t="inlineStr"/>
      <c r="V32" t="inlineStr"/>
      <c r="W32" t="inlineStr"/>
      <c r="X32" t="inlineStr"/>
    </row>
    <row r="33">
      <c r="A33" t="inlineStr">
        <is>
          <t>Claims</t>
        </is>
      </c>
      <c r="B33" t="inlineStr">
        <is>
          <t>CLAIM_SETTLEMENT</t>
        </is>
      </c>
      <c r="C33" t="inlineStr">
        <is>
          <t>Final Settlement Amount</t>
        </is>
      </c>
      <c r="D33" t="inlineStr">
        <is>
          <t>FINAL_SETTLEMENT_AMOUNT</t>
        </is>
      </c>
      <c r="E33" s="56" t="inlineStr">
        <is>
          <t>Y</t>
        </is>
      </c>
      <c r="F33" s="56" t="inlineStr">
        <is>
          <t>Y</t>
        </is>
      </c>
      <c r="G33" s="56" t="inlineStr">
        <is>
          <t>Y</t>
        </is>
      </c>
      <c r="H33" s="56" t="inlineStr">
        <is>
          <t>Y</t>
        </is>
      </c>
      <c r="I33" t="inlineStr">
        <is>
          <t>Final Settlement Amount is filled</t>
        </is>
      </c>
      <c r="J33" t="inlineStr">
        <is>
          <t>Completeness</t>
        </is>
      </c>
      <c r="K33" t="inlineStr">
        <is>
          <t>98.5%</t>
        </is>
      </c>
      <c r="L33" t="inlineStr">
        <is>
          <t>4f5436b1-84a6-43d8-b7bf-89490196eada</t>
        </is>
      </c>
      <c r="M33" t="inlineStr">
        <is>
          <t>3e29f6a4-dad1-40b8-8251-5aa8f34033e1</t>
        </is>
      </c>
      <c r="N33" t="inlineStr">
        <is>
          <t>2de2ac80-67c3-4541-8f6e-b5563aa85ccf</t>
        </is>
      </c>
      <c r="O33" t="inlineStr">
        <is>
          <t>Final Settlement Amount</t>
        </is>
      </c>
      <c r="P33" t="inlineStr">
        <is>
          <t>Published</t>
        </is>
      </c>
      <c r="Q33" t="inlineStr">
        <is>
          <t>fe22eb5f-e472-45c3-8b85-d71c73ea8adc</t>
        </is>
      </c>
      <c r="R33" t="inlineStr">
        <is>
          <t>Srinivasa Dasari</t>
        </is>
      </c>
      <c r="S33" t="inlineStr">
        <is>
          <t>Amount finally settled after adjustments; should not exceed the approved amount. Money actually paid out.</t>
        </is>
      </c>
      <c r="T33" t="inlineStr"/>
      <c r="U33" t="n">
        <v>98.5</v>
      </c>
      <c r="V33" t="inlineStr"/>
      <c r="W33" t="inlineStr"/>
      <c r="X33" t="inlineStr"/>
    </row>
    <row r="34">
      <c r="A34" t="inlineStr">
        <is>
          <t>Claims</t>
        </is>
      </c>
      <c r="B34" t="inlineStr">
        <is>
          <t>CLAIM_SETTLEMENT</t>
        </is>
      </c>
      <c r="C34" t="inlineStr">
        <is>
          <t>Payment Status</t>
        </is>
      </c>
      <c r="D34" t="inlineStr">
        <is>
          <t>PAYMENT_STATUS</t>
        </is>
      </c>
      <c r="E34" s="56" t="inlineStr">
        <is>
          <t>Y</t>
        </is>
      </c>
      <c r="F34" s="56" t="inlineStr">
        <is>
          <t>Y</t>
        </is>
      </c>
      <c r="G34" s="56" t="inlineStr">
        <is>
          <t>Y</t>
        </is>
      </c>
      <c r="H34" s="56" t="inlineStr">
        <is>
          <t>Y</t>
        </is>
      </c>
      <c r="I34" t="inlineStr">
        <is>
          <t>PAYMENT_STATUS allowed values</t>
        </is>
      </c>
      <c r="J34" t="inlineStr">
        <is>
          <t>Unspecified</t>
        </is>
      </c>
      <c r="K34" t="inlineStr">
        <is>
          <t>98.7%</t>
        </is>
      </c>
      <c r="L34" t="inlineStr">
        <is>
          <t>4f5436b1-84a6-43d8-b7bf-89490196eada</t>
        </is>
      </c>
      <c r="M34" t="inlineStr">
        <is>
          <t>4e15189b-dba7-451e-97e6-5aab8d7c1179</t>
        </is>
      </c>
      <c r="N34" t="inlineStr">
        <is>
          <t>e3851bf6-7497-4c59-b126-f1ecf6608d0c</t>
        </is>
      </c>
      <c r="O34" t="inlineStr">
        <is>
          <t>Payment Status</t>
        </is>
      </c>
      <c r="P34" t="inlineStr">
        <is>
          <t>Published</t>
        </is>
      </c>
      <c r="Q34" t="inlineStr">
        <is>
          <t>fe22eb5f-e472-45c3-8b85-d71c73ea8adc</t>
        </is>
      </c>
      <c r="R34" t="inlineStr">
        <is>
          <t>Srinivasa Dasari</t>
        </is>
      </c>
      <c r="S34" t="inlineStr">
        <is>
          <t>State of the payment (initiated, paid, failed, reversed). Shows whether cash has moved.</t>
        </is>
      </c>
      <c r="T34" t="inlineStr"/>
      <c r="U34" t="inlineStr"/>
      <c r="V34" t="inlineStr"/>
      <c r="W34" t="inlineStr"/>
      <c r="X34" t="inlineStr"/>
    </row>
    <row r="35">
      <c r="A35" t="inlineStr">
        <is>
          <t>Claims</t>
        </is>
      </c>
      <c r="B35" t="inlineStr">
        <is>
          <t>CLAIM_SETTLEMENT</t>
        </is>
      </c>
      <c r="C35" t="inlineStr">
        <is>
          <t>Payment Date</t>
        </is>
      </c>
      <c r="D35" t="inlineStr">
        <is>
          <t>PAYMENT_DATE</t>
        </is>
      </c>
      <c r="E35" s="56" t="inlineStr">
        <is>
          <t>Y</t>
        </is>
      </c>
      <c r="F35" s="56" t="inlineStr">
        <is>
          <t>Y</t>
        </is>
      </c>
      <c r="G35" s="56" t="inlineStr">
        <is>
          <t>Y</t>
        </is>
      </c>
      <c r="H35" s="56" t="inlineStr">
        <is>
          <t>Y</t>
        </is>
      </c>
      <c r="I35" t="inlineStr">
        <is>
          <t>PAYMENT_DATE within 30 days of SETTLEMENT_DATE</t>
        </is>
      </c>
      <c r="J35" t="inlineStr">
        <is>
          <t>Accuracy</t>
        </is>
      </c>
      <c r="K35" t="inlineStr">
        <is>
          <t>80.4%</t>
        </is>
      </c>
      <c r="L35" t="inlineStr">
        <is>
          <t>4f5436b1-84a6-43d8-b7bf-89490196eada</t>
        </is>
      </c>
      <c r="M35" t="inlineStr">
        <is>
          <t>14ed460a-4010-44c6-b010-66389c04caf2</t>
        </is>
      </c>
      <c r="N35" t="inlineStr">
        <is>
          <t>5f449e93-2fca-468f-943f-9aed93b62f5e</t>
        </is>
      </c>
      <c r="O35" t="inlineStr">
        <is>
          <t>Payment Date</t>
        </is>
      </c>
      <c r="P35" t="inlineStr">
        <is>
          <t>Published</t>
        </is>
      </c>
      <c r="Q35" t="inlineStr">
        <is>
          <t>fe22eb5f-e472-45c3-8b85-d71c73ea8adc</t>
        </is>
      </c>
      <c r="R35" t="inlineStr">
        <is>
          <t>Srinivasa Dasari</t>
        </is>
      </c>
      <c r="S35" t="inlineStr">
        <is>
          <t>Date the payment was made. Shows when cash moved; must not precede the settlement date.</t>
        </is>
      </c>
      <c r="T35" t="n">
        <v>80.40000000000001</v>
      </c>
      <c r="U35" t="inlineStr"/>
      <c r="V35" t="inlineStr"/>
      <c r="W35" t="inlineStr"/>
      <c r="X35" t="inlineStr"/>
    </row>
    <row r="36">
      <c r="A36" t="inlineStr">
        <is>
          <t>Claims</t>
        </is>
      </c>
      <c r="B36" t="inlineStr">
        <is>
          <t>CLAIM_SETTLEMENT</t>
        </is>
      </c>
      <c r="C36" t="inlineStr">
        <is>
          <t>Payment Reference</t>
        </is>
      </c>
      <c r="D36" t="inlineStr">
        <is>
          <t>PAYMENT_REFERENCE</t>
        </is>
      </c>
      <c r="E36" s="56" t="inlineStr">
        <is>
          <t>Y</t>
        </is>
      </c>
      <c r="F36" s="56" t="inlineStr">
        <is>
          <t>Y</t>
        </is>
      </c>
      <c r="G36" s="56" t="inlineStr">
        <is>
          <t>Y</t>
        </is>
      </c>
      <c r="H36" s="56" t="inlineStr">
        <is>
          <t>Y</t>
        </is>
      </c>
      <c r="I36" t="inlineStr">
        <is>
          <t>Payment Reference is unique</t>
        </is>
      </c>
      <c r="J36" t="inlineStr">
        <is>
          <t>Uniqueness</t>
        </is>
      </c>
      <c r="K36" t="inlineStr">
        <is>
          <t>75.2%</t>
        </is>
      </c>
      <c r="L36" t="inlineStr">
        <is>
          <t>4f5436b1-84a6-43d8-b7bf-89490196eada</t>
        </is>
      </c>
      <c r="M36" t="inlineStr">
        <is>
          <t>eb7486f2-2152-4f01-b2ae-f0bab19da373</t>
        </is>
      </c>
      <c r="N36" t="inlineStr">
        <is>
          <t>3a7efd70-5dd9-44fb-93fb-15187796f29f</t>
        </is>
      </c>
      <c r="O36" t="inlineStr">
        <is>
          <t>Payment Reference</t>
        </is>
      </c>
      <c r="P36" t="inlineStr">
        <is>
          <t>Published</t>
        </is>
      </c>
      <c r="Q36" t="inlineStr">
        <is>
          <t>fe22eb5f-e472-45c3-8b85-d71c73ea8adc</t>
        </is>
      </c>
      <c r="R36" t="inlineStr">
        <is>
          <t>Srinivasa Dasari</t>
        </is>
      </c>
      <c r="S36" t="inlineStr">
        <is>
          <t>Transaction reference identifying the payment. Lets you trace payments and detect double payments.</t>
        </is>
      </c>
      <c r="T36" t="inlineStr"/>
      <c r="U36" t="inlineStr"/>
      <c r="V36" t="inlineStr"/>
      <c r="W36" t="inlineStr"/>
      <c r="X36" t="n">
        <v>75.2</v>
      </c>
    </row>
    <row r="37"/>
    <row r="38">
      <c r="A38" s="55" t="inlineStr">
        <is>
          <t>Coverage %</t>
        </is>
      </c>
      <c r="E38">
        <f>COUNTIF(E2:E36,"Y")/ROWS(E2:E36)*100</f>
        <v/>
      </c>
      <c r="F38">
        <f>COUNTIF(F2:F36,"Y")/ROWS(F2:F36)*100</f>
        <v/>
      </c>
      <c r="G38">
        <f>COUNTIF(G2:G36,"Y")/ROWS(G2:G36)*100</f>
        <v/>
      </c>
      <c r="H38">
        <f>COUNTIF(H2:H36,"Y")/ROWS(H2:H36)*100</f>
        <v/>
      </c>
    </row>
    <row r="39">
      <c r="A39" s="55" t="inlineStr">
        <is>
          <t>Weight</t>
        </is>
      </c>
      <c r="E39" t="n">
        <v>0.4</v>
      </c>
      <c r="F39" t="n">
        <v>0.2</v>
      </c>
      <c r="G39" t="n">
        <v>0.2</v>
      </c>
      <c r="H39" t="n">
        <v>0.2</v>
      </c>
    </row>
    <row r="40">
      <c r="A40" s="55" t="inlineStr">
        <is>
          <t>Trust Score</t>
        </is>
      </c>
      <c r="B40" s="55">
        <f>SUMPRODUCT(E38:H38,E39:H39)</f>
        <v/>
      </c>
    </row>
  </sheetData>
  <autoFilter ref="A1:X36"/>
  <conditionalFormatting sqref="E2:H36">
    <cfRule type="cellIs" priority="1" operator="equal" dxfId="0">
      <formula>"Y"</formula>
    </cfRule>
    <cfRule type="cellIs" priority="2" operator="equal" dxfId="2">
      <formula>"N"</formula>
    </cfRule>
  </conditionalFormatting>
  <dataValidations count="1">
    <dataValidation sqref="E2:E3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CDE ColumnName - DQ Dimension</t>
        </is>
      </c>
      <c r="B1" t="inlineStr">
        <is>
          <t>Score %</t>
        </is>
      </c>
    </row>
    <row r="2">
      <c r="A2" t="inlineStr">
        <is>
          <t>Payment Reference - Uniqueness</t>
        </is>
      </c>
      <c r="B2" t="n">
        <v>75.2</v>
      </c>
    </row>
    <row r="3">
      <c r="A3" t="inlineStr">
        <is>
          <t>Payment Date - Accuracy</t>
        </is>
      </c>
      <c r="B3" t="n">
        <v>80.40000000000001</v>
      </c>
    </row>
    <row r="4">
      <c r="A4" t="inlineStr">
        <is>
          <t>Claim Number - Uniqueness</t>
        </is>
      </c>
      <c r="B4" t="n">
        <v>97.09999999999999</v>
      </c>
    </row>
    <row r="5">
      <c r="A5" t="inlineStr">
        <is>
          <t>Final Settlement Amount - Completeness</t>
        </is>
      </c>
      <c r="B5" t="n">
        <v>98.5</v>
      </c>
    </row>
    <row r="6">
      <c r="A6" t="inlineStr">
        <is>
          <t>Policy Number - Conformity</t>
        </is>
      </c>
      <c r="B6" t="n">
        <v>98.59999999999999</v>
      </c>
    </row>
    <row r="7">
      <c r="A7" t="inlineStr">
        <is>
          <t>Fraud Score - Unspecified</t>
        </is>
      </c>
      <c r="B7" t="n">
        <v>98.59999999999999</v>
      </c>
    </row>
    <row r="8">
      <c r="A8" t="inlineStr">
        <is>
          <t>Damage Estimate - Completeness</t>
        </is>
      </c>
      <c r="B8" t="n">
        <v>98.59999999999999</v>
      </c>
    </row>
    <row r="9">
      <c r="A9" t="inlineStr">
        <is>
          <t>Liability Percentage - Completeness</t>
        </is>
      </c>
      <c r="B9" t="n">
        <v>98.7</v>
      </c>
    </row>
    <row r="10">
      <c r="A10" t="inlineStr">
        <is>
          <t>Assessment Status - Conformity</t>
        </is>
      </c>
      <c r="B10" t="n">
        <v>98.7</v>
      </c>
    </row>
    <row r="11">
      <c r="A11" t="inlineStr">
        <is>
          <t>Approved Settlement Amount - Accuracy</t>
        </is>
      </c>
      <c r="B11" t="n">
        <v>98.7</v>
      </c>
    </row>
    <row r="12">
      <c r="A12" t="inlineStr">
        <is>
          <t>Payment Status - Unspecified</t>
        </is>
      </c>
      <c r="B12" t="n">
        <v>98.7</v>
      </c>
    </row>
    <row r="13">
      <c r="A13" t="inlineStr">
        <is>
          <t>Claim ID - Unspecified</t>
        </is>
      </c>
      <c r="B13" t="n">
        <v>99</v>
      </c>
    </row>
    <row r="14">
      <c r="A14" t="inlineStr">
        <is>
          <t>Estimated Loss Amount - Unspecified</t>
        </is>
      </c>
      <c r="B14" t="n">
        <v>99</v>
      </c>
    </row>
    <row r="15">
      <c r="A15" t="inlineStr">
        <is>
          <t>Claim Type - Conformity</t>
        </is>
      </c>
      <c r="B15" t="n">
        <v>99.09999999999999</v>
      </c>
    </row>
    <row r="16">
      <c r="A16" t="inlineStr">
        <is>
          <t>Estimated Loss Amount - Completeness</t>
        </is>
      </c>
      <c r="B16" t="n">
        <v>99.09999999999999</v>
      </c>
    </row>
    <row r="17">
      <c r="A17" t="inlineStr">
        <is>
          <t>Assessment Completed Flag - Conformity</t>
        </is>
      </c>
      <c r="B17" t="n">
        <v>99.09999999999999</v>
      </c>
    </row>
    <row r="18">
      <c r="A18" t="inlineStr">
        <is>
          <t>Reserve ID - Unspecified</t>
        </is>
      </c>
      <c r="B18" t="n">
        <v>99.09999999999999</v>
      </c>
    </row>
    <row r="19">
      <c r="A19" t="inlineStr">
        <is>
          <t>Claim Last Updated Timestamp - Timeliness</t>
        </is>
      </c>
      <c r="B19" t="n">
        <v>100</v>
      </c>
    </row>
    <row r="20">
      <c r="A20" t="inlineStr">
        <is>
          <t>Assessment ID - Uniqueness</t>
        </is>
      </c>
      <c r="B20" t="n">
        <v>100</v>
      </c>
    </row>
    <row r="21">
      <c r="A21" t="inlineStr">
        <is>
          <t>Reserve ID - Uniqueness</t>
        </is>
      </c>
      <c r="B21" t="n">
        <v>100</v>
      </c>
    </row>
    <row r="22">
      <c r="A22" t="inlineStr">
        <is>
          <t>Currency Code - Completeness</t>
        </is>
      </c>
      <c r="B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2026-10-14T09:31:24Z</dcterms:created>
  <dcterms:modified xmlns:dcterms="http://purl.org/dc/terms/" xmlns:xsi="http://www.w3.org/2001/XMLSchema-instance" xsi:type="dcterms:W3CDTF">2026-10-14T09:31:24Z</dcterms:modified>
</cp:coreProperties>
</file>